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https://d.docs.live.net/72382893c4084e1c/Documentos/PROG/vba grj/inventory/inventory/"/>
    </mc:Choice>
  </mc:AlternateContent>
  <xr:revisionPtr revIDLastSave="0" documentId="10_ncr:20000_{C45B5E11-D3C8-4829-AFDF-653E1B7CD67E}" xr6:coauthVersionLast="47" xr6:coauthVersionMax="47" xr10:uidLastSave="{00000000-0000-0000-0000-000000000000}"/>
  <bookViews>
    <workbookView xWindow="1560" yWindow="1560" windowWidth="15375" windowHeight="7875" tabRatio="836" firstSheet="7" activeTab="12" xr2:uid="{D0EDAFDB-9B1C-42B7-84F5-A604B73174C5}"/>
  </bookViews>
  <sheets>
    <sheet name="dash Inv" sheetId="5" r:id="rId1"/>
    <sheet name="dash Ent" sheetId="11" r:id="rId2"/>
    <sheet name="dash Sal" sheetId="10" r:id="rId3"/>
    <sheet name="notaMov" sheetId="3" r:id="rId4"/>
    <sheet name="Prod" sheetId="1" r:id="rId5"/>
    <sheet name="Prov" sheetId="7" r:id="rId6"/>
    <sheet name="Suc" sheetId="8" r:id="rId7"/>
    <sheet name="Ars" sheetId="6" r:id="rId8"/>
    <sheet name="tMov" sheetId="4" r:id="rId9"/>
    <sheet name="hMov" sheetId="2" r:id="rId10"/>
    <sheet name="aux lotes" sheetId="9" r:id="rId11"/>
    <sheet name="aux ent" sheetId="12" r:id="rId12"/>
    <sheet name="aux sal" sheetId="13" r:id="rId13"/>
  </sheets>
  <functionGroups builtInGroupCount="19"/>
  <definedNames>
    <definedName name="asalAr">'aux sal'!$B$1</definedName>
    <definedName name="asalCant">'aux sal'!$D$1</definedName>
    <definedName name="asalProd">'aux sal'!$C$1</definedName>
    <definedName name="asalSuc">'aux sal'!$A$1</definedName>
    <definedName name="aux_cols">'aux lotes'!$N$1:$N$8</definedName>
    <definedName name="auxLotCantDisp">'aux lotes'!$H$2</definedName>
    <definedName name="auxLotCantDisp_r">'aux lotes'!$H$2:$H$6</definedName>
    <definedName name="auxLotCostDisp">'aux lotes'!$I$2</definedName>
    <definedName name="auxLotCostDisp_r">'aux lotes'!$I$2:$I$6</definedName>
    <definedName name="auxLotDisp">'aux lotes'!$F$2</definedName>
    <definedName name="auxLotDisp_r">'aux lotes'!$F$2:$F$6</definedName>
    <definedName name="auxProdDisp">'aux lotes'!$G$2</definedName>
    <definedName name="auxProdDisp_r">'aux lotes'!$G$2:$G$6</definedName>
    <definedName name="bas">notaMov!$A$9:$F$9</definedName>
    <definedName name="cantLote">'aux lotes'!$C$2</definedName>
    <definedName name="cantLote_r">'aux lotes'!$C$2:$C$10</definedName>
    <definedName name="cero">'aux lotes'!$L$1</definedName>
    <definedName name="col_CANTIDAD">notaMov!$D$9</definedName>
    <definedName name="col_COSTO_UNITARIO">notaMov!$F$9</definedName>
    <definedName name="col_FECHA_CAD">notaMov!$E$9</definedName>
    <definedName name="col_LOTE">notaMov!$C$9</definedName>
    <definedName name="col_PRODUCTO">notaMov!$A$9</definedName>
    <definedName name="col_UNIDAD">notaMov!$B$9</definedName>
    <definedName name="costLote">'aux lotes'!$D$2</definedName>
    <definedName name="costLote_r">'aux lotes'!$D$2:$D$10</definedName>
    <definedName name="e_CANTIDAD">notaMov!$D$8</definedName>
    <definedName name="e_COSTO_UNITARIO">notaMov!$F$8</definedName>
    <definedName name="e_FECHA_CAD">notaMov!$E$8</definedName>
    <definedName name="e_LOTE">notaMov!$C$8</definedName>
    <definedName name="e_PRODUCTO">notaMov!$A$8</definedName>
    <definedName name="e_UNIDAD">notaMov!$B$8</definedName>
    <definedName name="enc">notaMov!$A$8:$F$8</definedName>
    <definedName name="grl">notaMov!$A$2:$A$6</definedName>
    <definedName name="iniarea">ar[[#Headers],[AREA]]</definedName>
    <definedName name="inihmov">hmov[[#Headers],[FECHA]]</definedName>
    <definedName name="iniprod">prod[[#Headers],[PRODUCTO]]</definedName>
    <definedName name="iniprov">prov[[#Headers],[PROVEEDOR]]</definedName>
    <definedName name="inisuc">suc[[#Headers],[SUCURSAL]]</definedName>
    <definedName name="initmov">tmov[[#Headers],[TIPO]]</definedName>
    <definedName name="nFECHA">notaMov!$B$2</definedName>
    <definedName name="nINOUT">notaMov!$B$6</definedName>
    <definedName name="nPROVEEDOR">notaMov!$B$4</definedName>
    <definedName name="nSUCURSAL">notaMov!$B$3</definedName>
    <definedName name="nTIPO_MOV">notaMov!$B$5</definedName>
    <definedName name="penc">notaMov!$A$8</definedName>
    <definedName name="pgrl">notaMov!$A$2</definedName>
    <definedName name="productoLote">'aux lotes'!$B$2</definedName>
    <definedName name="productoLote_r">'aux lotes'!$B$2:$B$10</definedName>
    <definedName name="unicLotes">'aux lotes'!$A$2</definedName>
    <definedName name="unicLotes_r">'aux lotes'!$A$2:$A$10</definedName>
    <definedName name="uno">'aux lotes'!$K$1</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6" i="3"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2" i="1" l="1"/>
  <c r="E3" i="1"/>
  <c r="E4" i="1"/>
</calcChain>
</file>

<file path=xl/sharedStrings.xml><?xml version="1.0" encoding="utf-8"?>
<sst xmlns="http://schemas.openxmlformats.org/spreadsheetml/2006/main" count="2635" uniqueCount="176">
  <si>
    <t>compra</t>
  </si>
  <si>
    <t>merma</t>
  </si>
  <si>
    <t>traspaso</t>
  </si>
  <si>
    <t>na</t>
  </si>
  <si>
    <t>FECHA</t>
  </si>
  <si>
    <t>SUCURSAL</t>
  </si>
  <si>
    <t>PROVEEDOR</t>
  </si>
  <si>
    <t>TIPO_MOV</t>
  </si>
  <si>
    <t>INOUT</t>
  </si>
  <si>
    <t>PRODUCTO</t>
  </si>
  <si>
    <t>UNIDAD</t>
  </si>
  <si>
    <t>LOTE</t>
  </si>
  <si>
    <t>CANTIDAD</t>
  </si>
  <si>
    <t>FECHA_CAD</t>
  </si>
  <si>
    <t>COSTO_UNITARIO</t>
  </si>
  <si>
    <t>AREA</t>
  </si>
  <si>
    <t>IDPROD</t>
  </si>
  <si>
    <t>EXISTENCIA</t>
  </si>
  <si>
    <t>IDPROVEEDOR</t>
  </si>
  <si>
    <t>IDSUCURSAL</t>
  </si>
  <si>
    <t>IDAREA</t>
  </si>
  <si>
    <t>TIPO</t>
  </si>
  <si>
    <t>IDTIPO</t>
  </si>
  <si>
    <t>IDMOV</t>
  </si>
  <si>
    <t>IDPRODUCTO</t>
  </si>
  <si>
    <t>COSTO</t>
  </si>
  <si>
    <t>a2</t>
  </si>
  <si>
    <t>unicLotes</t>
  </si>
  <si>
    <t>productoLote</t>
  </si>
  <si>
    <t>cantLote</t>
  </si>
  <si>
    <t>costLote</t>
  </si>
  <si>
    <t>auxLotDisp</t>
  </si>
  <si>
    <t>auxProdDisp</t>
  </si>
  <si>
    <t>auxLotCantDisp</t>
  </si>
  <si>
    <t>auxLotCostDisp</t>
  </si>
  <si>
    <t>unicLotes_r</t>
  </si>
  <si>
    <t>productoLote_r</t>
  </si>
  <si>
    <t>cantLote_r</t>
  </si>
  <si>
    <t>costLote_r</t>
  </si>
  <si>
    <t>auxLotDisp_r</t>
  </si>
  <si>
    <t>auxProdDisp_r</t>
  </si>
  <si>
    <t>auxLotCantDisp_r</t>
  </si>
  <si>
    <t>auxLotCostDisp_r</t>
  </si>
  <si>
    <t>MEDIOS DE TRANSPORTE</t>
  </si>
  <si>
    <t>PAQUETE</t>
  </si>
  <si>
    <t>MICROBIOLOGIA</t>
  </si>
  <si>
    <t>TUBO ROJO</t>
  </si>
  <si>
    <t>TUBOS</t>
  </si>
  <si>
    <t>TUBO AMARILLO</t>
  </si>
  <si>
    <t>TUBO LILA</t>
  </si>
  <si>
    <t>TUBO AZUL</t>
  </si>
  <si>
    <t>FRASCO ESTERIL</t>
  </si>
  <si>
    <t>PIEZA</t>
  </si>
  <si>
    <t>SUPLEMENTOS</t>
  </si>
  <si>
    <t>ALGODÓN</t>
  </si>
  <si>
    <t>BOLSA</t>
  </si>
  <si>
    <t>HOJAS BLANCAS</t>
  </si>
  <si>
    <t>PAPELERIA</t>
  </si>
  <si>
    <t>TINTA 544</t>
  </si>
  <si>
    <t>CINTA ETIQUETADORA</t>
  </si>
  <si>
    <t>ROLLO</t>
  </si>
  <si>
    <t>BOLSA NEGRA CH</t>
  </si>
  <si>
    <t>BOLSA NEGRA G</t>
  </si>
  <si>
    <t>HOJA MEMBRETADA</t>
  </si>
  <si>
    <t>AGUA EMBOTELLADA</t>
  </si>
  <si>
    <t>LANZETAS</t>
  </si>
  <si>
    <t>APLICADORES DE ALGODÓN</t>
  </si>
  <si>
    <t>GUANTES CH</t>
  </si>
  <si>
    <t>GUANTES M</t>
  </si>
  <si>
    <t>GUANTES G</t>
  </si>
  <si>
    <t>JERINGA 3ML AZUL</t>
  </si>
  <si>
    <t>CAJA</t>
  </si>
  <si>
    <t>JERINGAS</t>
  </si>
  <si>
    <t>JERINGA 3ML NARANJA</t>
  </si>
  <si>
    <t>JERINGA 3ML NEGRA</t>
  </si>
  <si>
    <t xml:space="preserve">JERINGA 5ML </t>
  </si>
  <si>
    <t>JERINGA 10ML</t>
  </si>
  <si>
    <t xml:space="preserve">CINTA PAPEL </t>
  </si>
  <si>
    <t>CUADERNO PROFESIONAL</t>
  </si>
  <si>
    <t>CUADERNO CHICO</t>
  </si>
  <si>
    <t>RESISTOL</t>
  </si>
  <si>
    <t>MARCADORES</t>
  </si>
  <si>
    <t>CINTA GRANDE TRANS</t>
  </si>
  <si>
    <t>SHARPIE</t>
  </si>
  <si>
    <t>LAPICERA ROJA</t>
  </si>
  <si>
    <t>LAPICERA NEGRA</t>
  </si>
  <si>
    <t>LAPICERA AZUL</t>
  </si>
  <si>
    <t>AMILASA</t>
  </si>
  <si>
    <t>SPINREACT</t>
  </si>
  <si>
    <t>ALBUMINA</t>
  </si>
  <si>
    <t>TIEMPOS PROTOMBINA</t>
  </si>
  <si>
    <t>BILIS T Y D</t>
  </si>
  <si>
    <t>ACIDO URICO</t>
  </si>
  <si>
    <t>PROTEINAS TOTALES</t>
  </si>
  <si>
    <t>GLUCOSA</t>
  </si>
  <si>
    <t>ANTIGENOS BACTERIANOS</t>
  </si>
  <si>
    <t>TGP</t>
  </si>
  <si>
    <t>TGO</t>
  </si>
  <si>
    <t>UREA</t>
  </si>
  <si>
    <t>CREATININA</t>
  </si>
  <si>
    <t>TRIGLICERIDOS</t>
  </si>
  <si>
    <t>COLESTEROL</t>
  </si>
  <si>
    <t>FOSFATASA ALCALINA</t>
  </si>
  <si>
    <t>LDH</t>
  </si>
  <si>
    <t>FACTOR REUMATOIDE</t>
  </si>
  <si>
    <t>ASO</t>
  </si>
  <si>
    <t>VDRL</t>
  </si>
  <si>
    <t>PCR</t>
  </si>
  <si>
    <t>HDL</t>
  </si>
  <si>
    <t>GGT</t>
  </si>
  <si>
    <t>TPT</t>
  </si>
  <si>
    <t>DULCES</t>
  </si>
  <si>
    <t>PSA</t>
  </si>
  <si>
    <t>IMMULITE</t>
  </si>
  <si>
    <t>T4 LIBRE</t>
  </si>
  <si>
    <t>PROLACTINA</t>
  </si>
  <si>
    <t>PROGESTERONA</t>
  </si>
  <si>
    <t>T3</t>
  </si>
  <si>
    <t>TSH</t>
  </si>
  <si>
    <t>H. PYLORI</t>
  </si>
  <si>
    <t xml:space="preserve">T4  </t>
  </si>
  <si>
    <t>FUJI</t>
  </si>
  <si>
    <t>NITROGENO UREICO</t>
  </si>
  <si>
    <t>CA</t>
  </si>
  <si>
    <t>ES</t>
  </si>
  <si>
    <t>P</t>
  </si>
  <si>
    <t>LIPASA</t>
  </si>
  <si>
    <t xml:space="preserve">TP </t>
  </si>
  <si>
    <t>BILIS TOTAL</t>
  </si>
  <si>
    <t>BILIS DIRECTA</t>
  </si>
  <si>
    <t>AGAR SANGRE</t>
  </si>
  <si>
    <t>AGAR MULLER HINTON</t>
  </si>
  <si>
    <t>AGAR AZUL DE METILENO</t>
  </si>
  <si>
    <t>METHANFETAMINA</t>
  </si>
  <si>
    <t>PRUEBAS RAPIDAS</t>
  </si>
  <si>
    <t>COCAINA</t>
  </si>
  <si>
    <t>THC</t>
  </si>
  <si>
    <t>PRUEBA DE EMBARAZO</t>
  </si>
  <si>
    <t>TIRAS DE ORINA</t>
  </si>
  <si>
    <t>FRASCO</t>
  </si>
  <si>
    <t>DENGUE</t>
  </si>
  <si>
    <t>HEPATITIS A</t>
  </si>
  <si>
    <t>HEPATITIS B</t>
  </si>
  <si>
    <t>HEPATITIS C</t>
  </si>
  <si>
    <t>SIFILIS</t>
  </si>
  <si>
    <t>MULTIDROGAS 3</t>
  </si>
  <si>
    <t xml:space="preserve">INFLUENZA A Y B </t>
  </si>
  <si>
    <t>BARBITURICOS</t>
  </si>
  <si>
    <t>BENZODIASEPINAS</t>
  </si>
  <si>
    <t>RESLAB</t>
  </si>
  <si>
    <t>ERBAMEX</t>
  </si>
  <si>
    <t>TECDIAGS</t>
  </si>
  <si>
    <t>VEGALAB</t>
  </si>
  <si>
    <t>KABLA</t>
  </si>
  <si>
    <t xml:space="preserve">AUREA </t>
  </si>
  <si>
    <t>DICIPA</t>
  </si>
  <si>
    <t>FG SOLUCIONES</t>
  </si>
  <si>
    <t>NUCLEO</t>
  </si>
  <si>
    <t>CENTRO</t>
  </si>
  <si>
    <t>CAPILLA</t>
  </si>
  <si>
    <t xml:space="preserve">SAN IGNACIO </t>
  </si>
  <si>
    <t>SAN JOSE</t>
  </si>
  <si>
    <t>MEZCALA</t>
  </si>
  <si>
    <t>EMPRESAS</t>
  </si>
  <si>
    <t>COMPUTO</t>
  </si>
  <si>
    <t>QUIRURJICO</t>
  </si>
  <si>
    <t>SYSMEX BH</t>
  </si>
  <si>
    <t>ACT 5 DIFF</t>
  </si>
  <si>
    <t>MINDRAY BC3200</t>
  </si>
  <si>
    <t>PIPETAS</t>
  </si>
  <si>
    <t>ECLIPSE APEXBIO</t>
  </si>
  <si>
    <t>NIHON KOHDEN</t>
  </si>
  <si>
    <t>LIMPIEZA</t>
  </si>
  <si>
    <t>GARRAFONES</t>
  </si>
  <si>
    <t>GETEIN 1100</t>
  </si>
  <si>
    <t>tr4545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</si>
</sst>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000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8" tint="0.59999389629810485"/>
        <bgColor indexed="64"/>
      </patternFill>
    </fill>
    <fill>
      <patternFill patternType="solid">
        <fgColor theme="8" tint="0.79998168889431442"/>
        <bgColor indexed="64"/>
      </patternFill>
    </fill>
  </fills>
  <borders count="1">
    <border>
      <left/>
      <right/>
      <top/>
      <bottom/>
      <diagonal/>
    </border>
  </borders>
  <cellStyleXfs count="1">
    <xf numFmtId="0" fontId="0" fillId="0" borderId="0"/>
  </cellStyleXfs>
  <cellXfs count="12">
    <xf numFmtId="0" fontId="0" fillId="0" borderId="0" xfId="0"/>
    <xf numFmtId="0" fontId="0" fillId="2" borderId="0" xfId="0" applyFill="1"/>
    <xf numFmtId="0" fontId="1" fillId="3" borderId="0" xfId="0" applyFont="1" applyFill="1" applyAlignment="1">
      <alignment horizontal="center"/>
    </xf>
    <xf numFmtId="0" fontId="1" fillId="3" borderId="0" xfId="0" applyFont="1" applyFill="1" applyAlignment="1">
      <alignment horizontal="left"/>
    </xf>
    <xf numFmtId="0" fontId="0" fillId="4" borderId="0" xfId="0" applyFill="1" applyAlignment="1">
      <alignment horizontal="left"/>
    </xf>
    <xf numFmtId="14" fontId="0" fillId="2" borderId="0" xfId="0" applyNumberFormat="1" applyFill="1" applyAlignment="1">
      <alignment horizontal="left"/>
    </xf>
    <xf numFmtId="14" fontId="1" fillId="3" borderId="0" xfId="0" applyNumberFormat="1" applyFont="1" applyFill="1" applyAlignment="1">
      <alignment horizontal="left"/>
    </xf>
    <xf numFmtId="14" fontId="0" fillId="2" borderId="0" xfId="0" applyNumberFormat="1" applyFill="1"/>
    <xf numFmtId="0" fontId="0" fillId="0" borderId="0" xfId="0" applyNumberFormat="1"/>
    <xf numFmtId="0" fontId="0" fillId="0" borderId="0" xfId="0" applyAlignment="1">
      <alignment horizontal="center"/>
    </xf>
    <xf numFmtId="0" fontId="0" fillId="2" borderId="0" xfId="0" applyNumberFormat="1" applyFill="1"/>
    <xf numFmtId="0" fontId="1" fillId="3" borderId="0" xfId="0" applyNumberFormat="1" applyFont="1" applyFill="1" applyAlignment="1">
      <alignment horizontal="center"/>
    </xf>
  </cellXfs>
  <cellStyles count="1">
    <cellStyle name="Normal" xfId="0" builtinId="0"/>
  </cellStyles>
  <dxfs count="18">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numFmt numFmtId="0" formatCode="General"/>
    </dxf>
    <dxf>
      <fill>
        <patternFill patternType="solid">
          <fgColor indexed="64"/>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customXml" Target="../customXml/item22.xml"/><Relationship Id="rId21" Type="http://schemas.openxmlformats.org/officeDocument/2006/relationships/customXml" Target="../customXml/item4.xml"/><Relationship Id="rId34" Type="http://schemas.openxmlformats.org/officeDocument/2006/relationships/customXml" Target="../customXml/item17.xml"/><Relationship Id="rId42" Type="http://schemas.openxmlformats.org/officeDocument/2006/relationships/customXml" Target="../customXml/item2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29" Type="http://schemas.openxmlformats.org/officeDocument/2006/relationships/customXml" Target="../customXml/item12.xml"/><Relationship Id="rId41" Type="http://schemas.openxmlformats.org/officeDocument/2006/relationships/customXml" Target="../customXml/item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openxmlformats.org/officeDocument/2006/relationships/customXml" Target="../customXml/item23.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customXml" Target="../customXml/item2.xml"/><Relationship Id="rId31" Type="http://schemas.openxmlformats.org/officeDocument/2006/relationships/customXml" Target="../customXml/item14.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43" Type="http://schemas.openxmlformats.org/officeDocument/2006/relationships/customXml" Target="../customXml/item2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161925</xdr:rowOff>
        </xdr:from>
        <xdr:to>
          <xdr:col>6</xdr:col>
          <xdr:colOff>0</xdr:colOff>
          <xdr:row>2</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Guardar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945747-7367-427A-AAC7-505CBA012648}" name="prod" displayName="prod" ref="A1:E106" totalsRowShown="0">
  <autoFilter ref="A1:E106" xr:uid="{3B945747-7367-427A-AAC7-505CBA012648}"/>
  <tableColumns count="5">
    <tableColumn id="1" xr3:uid="{D1ED3B1A-88BF-4660-9333-2E1B49F16547}" name="PRODUCTO"/>
    <tableColumn id="4" xr3:uid="{077F18B3-D03E-436C-ADDA-C6B84AD8609F}" name="UNIDAD"/>
    <tableColumn id="7" xr3:uid="{FB6CE7D1-8029-42FC-8EFD-50CC8BB2E936}" name="AREA"/>
    <tableColumn id="6" xr3:uid="{3BD268D1-EF0E-4176-9856-1E4007FFDBE4}" name="IDPROD" dataDxfId="17"/>
    <tableColumn id="2" xr3:uid="{7D3DE1B2-1C0E-4423-A4AE-1083B5A37EC1}" name="EXISTENCIA" dataDxfId="16">
      <calculatedColumnFormula>SUMIFS(hmov[CANTIDAD],hmov[IDPRODUCTO],prod[[#This Row],[IDPROD]],hmov[INOUT],1)-SUMIFS(hmov[CANTIDAD],hmov[IDPRODUCTO],prod[[#This Row],[IDPROD]],hmov[INOUT],0)</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4419119-D8F6-4266-96A2-C36B2C1800E7}" name="prov" displayName="prov" ref="A1:B10" totalsRowShown="0">
  <autoFilter ref="A1:B10" xr:uid="{74419119-D8F6-4266-96A2-C36B2C1800E7}"/>
  <tableColumns count="2">
    <tableColumn id="1" xr3:uid="{AB441392-509E-457D-BC1C-F98AE59CEA69}" name="PROVEEDOR"/>
    <tableColumn id="2" xr3:uid="{CC5219C6-52C3-4D9A-983C-5A45FF275D80}" name="IDPROVEEDOR" dataDxfId="15"/>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54B3E85-BFD7-48CA-AAF6-1803BC020CDB}" name="suc" displayName="suc" ref="A1:B8" totalsRowShown="0">
  <autoFilter ref="A1:B8" xr:uid="{554B3E85-BFD7-48CA-AAF6-1803BC020CDB}"/>
  <tableColumns count="2">
    <tableColumn id="1" xr3:uid="{19759173-5F83-4587-A626-4E872A8F979A}" name="SUCURSAL"/>
    <tableColumn id="2" xr3:uid="{3B9A8D59-E50D-41F3-B647-CE78BA4CF77B}" name="IDSUCURSAL" dataDxfId="1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5AA69EC-C32D-4CB3-A62A-2015B0F2393A}" name="ar" displayName="ar" ref="A1:B21" totalsRowShown="0">
  <autoFilter ref="A1:B21" xr:uid="{35AA69EC-C32D-4CB3-A62A-2015B0F2393A}"/>
  <tableColumns count="2">
    <tableColumn id="1" xr3:uid="{A9450D9B-7A4D-4449-BFDC-175A5CE41CF4}" name="AREA"/>
    <tableColumn id="2" xr3:uid="{6809EBFD-1386-4B71-AE0F-87814E7A0A60}" name="IDAREA" dataDxfId="13"/>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F135F6C-5B17-4397-B23B-CE659D44BA21}" name="tmov" displayName="tmov" ref="A1:C4" totalsRowShown="0">
  <autoFilter ref="A1:C4" xr:uid="{FF135F6C-5B17-4397-B23B-CE659D44BA21}"/>
  <tableColumns count="3">
    <tableColumn id="1" xr3:uid="{E91BAEA4-7E0B-4111-9A84-E0C22F051EAB}" name="TIPO"/>
    <tableColumn id="2" xr3:uid="{550F5926-7656-4FD9-85A9-E80D30ED1D64}" name="INOUT"/>
    <tableColumn id="3" xr3:uid="{E28FD73B-32D3-4F7E-9EF7-97353D61553C}" name="IDTIPO" dataDxfId="12"/>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71C0EDB-2083-4D68-A429-91958B4E1066}" name="hmov" displayName="hmov" ref="A1:K16" totalsRowShown="0" dataDxfId="11">
  <autoFilter ref="A1:K16" xr:uid="{871C0EDB-2083-4D68-A429-91958B4E1066}"/>
  <tableColumns count="11">
    <tableColumn id="1" xr3:uid="{9B9544CD-669A-4781-A4A2-D72DA8F92247}" name="FECHA" dataDxfId="10"/>
    <tableColumn id="2" xr3:uid="{8205D17E-783C-487B-9559-9823D34C6208}" name="IDMOV" dataDxfId="9"/>
    <tableColumn id="3" xr3:uid="{8AF9B385-5AB1-4B05-8A15-833AFC66DA32}" name="IDTIPO" dataDxfId="8"/>
    <tableColumn id="4" xr3:uid="{C955AA5A-6BA6-4089-A0A3-BC75A339CFFA}" name="INOUT" dataDxfId="7"/>
    <tableColumn id="9" xr3:uid="{BB261342-3672-4DF6-803D-690AF9EC4A30}" name="IDSUCURSAL" dataDxfId="6"/>
    <tableColumn id="10" xr3:uid="{0BFBCF4C-D959-497F-AB46-9212EC59287B}" name="IDPROVEEDOR" dataDxfId="5"/>
    <tableColumn id="5" xr3:uid="{D4298A57-8EBD-4CA7-A753-9C36D40A5E0F}" name="IDPRODUCTO" dataDxfId="4"/>
    <tableColumn id="6" xr3:uid="{CB70D502-2F78-4FBA-8BFB-6E431BD5E12D}" name="CANTIDAD" dataDxfId="3"/>
    <tableColumn id="7" xr3:uid="{DE3F597D-B42D-458E-B9B1-5553201A990B}" name="COSTO" dataDxfId="2"/>
    <tableColumn id="11" xr3:uid="{B3946F2C-D42F-4DE8-B57E-B72EA1838C26}" name="LOTE" dataDxfId="1"/>
    <tableColumn id="8" xr3:uid="{21B09C58-A40A-4AB4-819C-446B7BC20964}" name="FECHA_CAD" dataDxfId="0"/>
  </tableColumns>
  <tableStyleInfo name="TableStyleLight8"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30916-D9D3-4204-BBBF-75B012ED86F7}">
  <sheetPr codeName="dInv">
    <tabColor rgb="FF00B050"/>
  </sheetPr>
  <dimension ref="C1:C15"/>
  <sheetViews>
    <sheetView topLeftCell="A2" zoomScaleNormal="100" workbookViewId="0">
      <selection activeCell="A2" sqref="A2"/>
    </sheetView>
  </sheetViews>
  <sheetFormatPr baseColWidth="10" defaultRowHeight="15" x14ac:dyDescent="0.25"/>
  <sheetData>
    <row r="1" spans="3:3" hidden="1" x14ac:dyDescent="0.25"/>
    <row r="14" spans="3:3" x14ac:dyDescent="0.25">
      <c r="C14" s="8"/>
    </row>
    <row r="15" spans="3:3" x14ac:dyDescent="0.25">
      <c r="C15" s="8"/>
    </row>
  </sheetData>
  <pageMargins left="0.7" right="0.7" top="0.75" bottom="0.75" header="0.3" footer="0.3"/>
  <pageSetup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6AC5-6E26-4391-9CEE-FEE070D29CD7}">
  <sheetPr codeName="dEnt">
    <tabColor rgb="FF00B050"/>
  </sheetPr>
  <dimension ref="A1:A30"/>
  <sheetViews>
    <sheetView topLeftCell="A34" zoomScale="85" zoomScaleNormal="85" workbookViewId="0">
      <selection activeCell="A34" sqref="A34"/>
    </sheetView>
  </sheetViews>
  <sheetFormatPr baseColWidth="10" defaultRowHeight="15" x14ac:dyDescent="0.25"/>
  <cols>
    <col min="1" max="1" width="9.140625" style="9" bestFit="1" customWidth="1"/>
  </cols>
  <sheetData>
    <row r="1" spans="1:1" hidden="1" x14ac:dyDescent="0.25"/>
    <row r="3" spans="1:1" x14ac:dyDescent="0.25">
      <c r="A3"/>
    </row>
    <row r="4" spans="1:1" x14ac:dyDescent="0.25">
      <c r="A4"/>
    </row>
    <row r="5" spans="1:1" x14ac:dyDescent="0.25">
      <c r="A5"/>
    </row>
    <row r="6" spans="1:1" x14ac:dyDescent="0.25">
      <c r="A6"/>
    </row>
    <row r="15" spans="1:1" x14ac:dyDescent="0.25">
      <c r="A15"/>
    </row>
    <row r="16" spans="1:1"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row r="28" spans="1:1" x14ac:dyDescent="0.25">
      <c r="A28"/>
    </row>
    <row r="29" spans="1:1" x14ac:dyDescent="0.25">
      <c r="A29"/>
    </row>
    <row r="30" spans="1:1" x14ac:dyDescent="0.25">
      <c r="A3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0E445-477E-4935-96A4-54EEF5C9D7BD}">
  <sheetPr codeName="dSal">
    <tabColor rgb="FF00B050"/>
  </sheetPr>
  <dimension ref="A1"/>
  <sheetViews>
    <sheetView topLeftCell="A2" workbookViewId="0">
      <selection activeCell="A2" sqref="A1:G1048576"/>
    </sheetView>
  </sheetViews>
  <sheetFormatPr baseColWidth="10" defaultRowHeight="15" x14ac:dyDescent="0.25"/>
  <cols>
    <col min="1" max="1" width="13.5703125" customWidth="1"/>
  </cols>
  <sheetData>
    <row r="1" hidden="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5D131-21F0-4BC8-B9C4-4F79F83F9D7F}">
  <sheetPr codeName="notamov">
    <tabColor theme="8" tint="0.59999389629810485"/>
  </sheetPr>
  <dimension ref="A2:F31"/>
  <sheetViews>
    <sheetView zoomScale="85" zoomScaleNormal="85" workbookViewId="0">
      <selection activeCell="G13" sqref="G13"/>
    </sheetView>
  </sheetViews>
  <sheetFormatPr baseColWidth="10" defaultRowHeight="15" x14ac:dyDescent="0.25"/>
  <cols>
    <col min="1" max="2" width="17.7109375" customWidth="1"/>
    <col min="3" max="3" width="17.7109375" style="8" customWidth="1"/>
    <col min="4" max="6" width="17.7109375" customWidth="1"/>
  </cols>
  <sheetData>
    <row r="2" spans="1:6" x14ac:dyDescent="0.25">
      <c r="A2" s="3" t="s">
        <v>4</v>
      </c>
      <c r="B2" s="5">
        <v>44739</v>
      </c>
    </row>
    <row r="3" spans="1:6" x14ac:dyDescent="0.25">
      <c r="A3" s="3" t="s">
        <v>5</v>
      </c>
      <c r="B3" s="1" t="s">
        <v>157</v>
      </c>
    </row>
    <row r="4" spans="1:6" x14ac:dyDescent="0.25">
      <c r="A4" s="3" t="s">
        <v>6</v>
      </c>
      <c r="B4" s="1" t="s">
        <v>3</v>
      </c>
    </row>
    <row r="5" spans="1:6" x14ac:dyDescent="0.25">
      <c r="A5" s="3" t="s">
        <v>7</v>
      </c>
      <c r="B5" s="1" t="s">
        <v>1</v>
      </c>
    </row>
    <row r="6" spans="1:6" x14ac:dyDescent="0.25">
      <c r="A6" s="6" t="s">
        <v>8</v>
      </c>
      <c r="B6" s="4">
        <f>INDEX(tmov[INOUT],MATCH(nTIPO_MOV,tmov[TIPO],0))</f>
        <v>0</v>
      </c>
    </row>
    <row r="8" spans="1:6" x14ac:dyDescent="0.25">
      <c r="A8" s="2" t="s">
        <v>9</v>
      </c>
      <c r="B8" s="2" t="s">
        <v>10</v>
      </c>
      <c r="C8" s="11" t="s">
        <v>11</v>
      </c>
      <c r="D8" s="2" t="s">
        <v>12</v>
      </c>
      <c r="E8" s="2" t="s">
        <v>13</v>
      </c>
      <c r="F8" s="2" t="s">
        <v>14</v>
      </c>
    </row>
    <row r="9" spans="1:6" x14ac:dyDescent="0.25">
      <c r="A9" s="1" t="s">
        <v>46</v>
      </c>
      <c r="B9" s="1" t="s">
        <v>44</v>
      </c>
      <c r="C9" s="10">
        <v>1111</v>
      </c>
      <c r="D9" s="1">
        <v>5</v>
      </c>
      <c r="E9" s="7">
        <v>44748</v>
      </c>
      <c r="F9" s="1">
        <v>11</v>
      </c>
    </row>
    <row r="10" spans="1:6" x14ac:dyDescent="0.25">
      <c r="A10" s="1"/>
      <c r="B10" s="1"/>
      <c r="C10" s="10"/>
      <c r="D10" s="1"/>
      <c r="E10" s="7"/>
      <c r="F10" s="1"/>
    </row>
    <row r="11" spans="1:6" x14ac:dyDescent="0.25">
      <c r="A11" s="1"/>
      <c r="B11" s="1"/>
      <c r="C11" s="10"/>
      <c r="D11" s="1"/>
      <c r="E11" s="7"/>
      <c r="F11" s="1"/>
    </row>
    <row r="12" spans="1:6" x14ac:dyDescent="0.25">
      <c r="A12" s="1"/>
      <c r="B12" s="1"/>
      <c r="C12" s="10"/>
      <c r="D12" s="1"/>
      <c r="E12" s="1"/>
      <c r="F12" s="1"/>
    </row>
    <row r="13" spans="1:6" x14ac:dyDescent="0.25">
      <c r="A13" s="1"/>
      <c r="B13" s="1"/>
      <c r="C13" s="10"/>
      <c r="D13" s="1"/>
      <c r="E13" s="1"/>
      <c r="F13" s="1"/>
    </row>
    <row r="14" spans="1:6" x14ac:dyDescent="0.25">
      <c r="A14" s="1"/>
      <c r="B14" s="1"/>
      <c r="C14" s="10"/>
      <c r="D14" s="1"/>
      <c r="E14" s="1"/>
      <c r="F14" s="1"/>
    </row>
    <row r="15" spans="1:6" x14ac:dyDescent="0.25">
      <c r="A15" s="1"/>
      <c r="B15" s="1"/>
      <c r="C15" s="10"/>
      <c r="D15" s="1"/>
      <c r="E15" s="1"/>
      <c r="F15" s="1"/>
    </row>
    <row r="16" spans="1:6" x14ac:dyDescent="0.25">
      <c r="A16" s="1"/>
      <c r="B16" s="1"/>
      <c r="C16" s="10"/>
      <c r="D16" s="1"/>
      <c r="E16" s="1"/>
      <c r="F16" s="1"/>
    </row>
    <row r="17" spans="1:6" x14ac:dyDescent="0.25">
      <c r="A17" s="1"/>
      <c r="B17" s="1"/>
      <c r="C17" s="10"/>
      <c r="D17" s="1"/>
      <c r="E17" s="1"/>
      <c r="F17" s="1"/>
    </row>
    <row r="18" spans="1:6" x14ac:dyDescent="0.25">
      <c r="A18" s="1"/>
      <c r="B18" s="1"/>
      <c r="C18" s="10"/>
      <c r="D18" s="1"/>
      <c r="E18" s="1"/>
      <c r="F18" s="1"/>
    </row>
    <row r="19" spans="1:6" x14ac:dyDescent="0.25">
      <c r="A19" s="1"/>
      <c r="B19" s="1"/>
      <c r="C19" s="10"/>
      <c r="D19" s="1"/>
      <c r="E19" s="1"/>
      <c r="F19" s="1"/>
    </row>
    <row r="20" spans="1:6" x14ac:dyDescent="0.25">
      <c r="A20" s="1"/>
      <c r="B20" s="1"/>
      <c r="C20" s="10"/>
      <c r="D20" s="1"/>
      <c r="E20" s="1"/>
      <c r="F20" s="1"/>
    </row>
    <row r="21" spans="1:6" x14ac:dyDescent="0.25">
      <c r="A21" s="1"/>
      <c r="B21" s="1"/>
      <c r="C21" s="10"/>
      <c r="D21" s="1"/>
      <c r="E21" s="1"/>
      <c r="F21" s="1"/>
    </row>
    <row r="22" spans="1:6" x14ac:dyDescent="0.25">
      <c r="A22" s="1"/>
      <c r="B22" s="1"/>
      <c r="C22" s="10"/>
      <c r="D22" s="1"/>
      <c r="E22" s="1"/>
      <c r="F22" s="1"/>
    </row>
    <row r="23" spans="1:6" x14ac:dyDescent="0.25">
      <c r="A23" s="1"/>
      <c r="B23" s="1"/>
      <c r="C23" s="10"/>
      <c r="D23" s="1"/>
      <c r="E23" s="1"/>
      <c r="F23" s="1"/>
    </row>
    <row r="24" spans="1:6" x14ac:dyDescent="0.25">
      <c r="A24" s="1"/>
      <c r="B24" s="1"/>
      <c r="C24" s="10"/>
      <c r="D24" s="1"/>
      <c r="E24" s="1"/>
      <c r="F24" s="1"/>
    </row>
    <row r="25" spans="1:6" x14ac:dyDescent="0.25">
      <c r="A25" s="1"/>
      <c r="B25" s="1"/>
      <c r="C25" s="10"/>
      <c r="D25" s="1"/>
      <c r="E25" s="1"/>
      <c r="F25" s="1"/>
    </row>
    <row r="26" spans="1:6" x14ac:dyDescent="0.25">
      <c r="A26" s="1"/>
      <c r="B26" s="1"/>
      <c r="C26" s="10"/>
      <c r="D26" s="1"/>
      <c r="E26" s="1"/>
      <c r="F26" s="1"/>
    </row>
    <row r="27" spans="1:6" x14ac:dyDescent="0.25">
      <c r="A27" s="1"/>
      <c r="B27" s="1"/>
      <c r="C27" s="10"/>
      <c r="D27" s="1"/>
      <c r="E27" s="1"/>
      <c r="F27" s="1"/>
    </row>
    <row r="28" spans="1:6" x14ac:dyDescent="0.25">
      <c r="A28" s="1"/>
      <c r="B28" s="1"/>
      <c r="C28" s="10"/>
      <c r="D28" s="1"/>
      <c r="E28" s="1"/>
      <c r="F28" s="1"/>
    </row>
    <row r="29" spans="1:6" x14ac:dyDescent="0.25">
      <c r="A29" s="1"/>
      <c r="B29" s="1"/>
      <c r="C29" s="10"/>
      <c r="D29" s="1"/>
      <c r="E29" s="1"/>
      <c r="F29" s="1"/>
    </row>
    <row r="30" spans="1:6" x14ac:dyDescent="0.25">
      <c r="A30" s="1"/>
      <c r="B30" s="1"/>
      <c r="C30" s="10"/>
      <c r="D30" s="1"/>
      <c r="E30" s="1"/>
      <c r="F30" s="1"/>
    </row>
    <row r="31" spans="1:6" x14ac:dyDescent="0.25">
      <c r="A31" s="1"/>
      <c r="B31" s="1"/>
      <c r="C31" s="10"/>
      <c r="D31" s="1"/>
      <c r="E31" s="1"/>
      <c r="F31" s="1"/>
    </row>
  </sheetData>
  <dataValidations count="7">
    <dataValidation type="list" allowBlank="1" showInputMessage="1" showErrorMessage="1" sqref="B5" xr:uid="{3E52CA1A-1108-4337-8076-F16141EB0B50}">
      <formula1>"compra,merma,traspaso"</formula1>
    </dataValidation>
    <dataValidation type="list" allowBlank="1" showInputMessage="1" showErrorMessage="1" sqref="B3 B4" xr:uid="{67B4E8C2-3C97-44EA-87CA-36AF34CF210C}">
      <formula1>"na"</formula1>
    </dataValidation>
    <dataValidation type="list" allowBlank="1" showInputMessage="1" showErrorMessage="1" sqref="A9:A31" xr:uid="{3FCE16B5-698D-43AF-A5C1-34C343238548}">
      <formula1>"MEDIOS DE TRANSPORTE,TUBO ROJO,TUBO AMARILLO,TUBO LILA,TUBO AZUL,FRASCO ESTERIL,ALGODÓN,HOJAS BLANCAS,TINTA 544,CINTA ETIQUETADORA,BOLSA NEGRA CH,BOLSA NEGRA G,HOJA MEMBRETADA,AGUA EMBOTELLADA,LANZETAS,APLICADORES DE ALGODÓN,GUANTES CH,GUANTES M,GUANTES G,JERINGA 3ML AZUL,JERINGA 3ML NARANJA,JERINGA 3ML NEGRA,JERINGA 5ML ,JERINGA 10ML,CINTA PAPEL ,CUADERNO PROFESIONAL,CUADERNO CHICO,RESISTOL,MARCADORES,CINTA GRANDE TRANS,SHARPIE,LAPICERA ROJA,LAPICERA NEGRA,LAPICERA AZUL,AMILASA,ALBUMINA,TIEMPOS PROTOMBINA,BILIS T Y D,ACIDO URICO,PROTEINAS TOTALES,GLUCOSA,ANTIGENOS BACTERIANOS,TGP,TGO,UREA,CREATININA,TRIGLICERIDOS,COLESTEROL,FOSFATASA ALCALINA,LDH,FACTOR REUMATOIDE,ASO,VDRL,PCR,HDL,GGT,TPT,DULCES,PSA,T4 LIBRE,PROLACTINA,PROGESTERONA,T3,TSH,H. PYLORI,T4  ,GLUCOSA,CREATININA,NITROGENO UREICO,ACIDO URICO,TRIGLICERIDOS,COLESTEROL,HDL,CA,ES,P,GGT,AMILASA,LIPASA,FOSFATASA ALCALINA,LDH,TP ,ALBUMINA,BILIS TOTAL,BILIS DIRECTA,TGO,TGP,AGAR SANGRE,AGAR MULLER HINTON,AGAR AZUL DE METILENO,METHANFETAMINA,COCAINA,THC,PRUEBA DE EMBARAZO,TIRAS DE ORINA,DENGUE,PSA,HEPATITIS A,HEPATITIS B,HEPATITIS C,SIFILIS,MULTIDROGAS 3,INFLUENZA A Y B ,BARBITURICOS,BENZODIASEPINAS"</formula1>
    </dataValidation>
    <dataValidation type="list" allowBlank="1" showInputMessage="1" showErrorMessage="1" sqref="B9" xr:uid="{09C645C4-8E3A-4F16-96C7-D5236097A50B}">
      <formula1>"PAQUETE"</formula1>
    </dataValidation>
    <dataValidation type="list" allowBlank="1" showInputMessage="1" showErrorMessage="1" sqref="C9" xr:uid="{2D661A3E-BFDC-418A-A228-B5DDE8DFFE81}">
      <formula1>"1111,333,23456,tr4545"</formula1>
    </dataValidation>
    <dataValidation type="decimal" allowBlank="1" showInputMessage="1" showErrorMessage="1" errorTitle="Error" error="Excede las existencias" sqref="D9" xr:uid="{9C10495D-2E00-4CB1-8974-AFF12CFDC183}">
      <formula1>0</formula1>
      <formula2>5</formula2>
    </dataValidation>
    <dataValidation type="list" allowBlank="1" showInputMessage="1" showErrorMessage="1" sqref="E9" xr:uid="{3547C66A-E4F1-42FC-A3A5-2A6282838167}">
      <formula1>"11"</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guarda">
                <anchor moveWithCells="1" sizeWithCells="1">
                  <from>
                    <xdr:col>5</xdr:col>
                    <xdr:colOff>0</xdr:colOff>
                    <xdr:row>0</xdr:row>
                    <xdr:rowOff>161925</xdr:rowOff>
                  </from>
                  <to>
                    <xdr:col>6</xdr:col>
                    <xdr:colOff>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CDE11-185F-4677-A794-C07BE3BD8465}">
  <sheetPr codeName="pr">
    <tabColor theme="6" tint="0.39997558519241921"/>
  </sheetPr>
  <dimension ref="A1:E106"/>
  <sheetViews>
    <sheetView workbookViewId="0">
      <selection activeCell="D9" sqref="D9"/>
    </sheetView>
  </sheetViews>
  <sheetFormatPr baseColWidth="10" defaultRowHeight="15" x14ac:dyDescent="0.25"/>
  <cols>
    <col min="1" max="8" width="15.7109375" customWidth="1"/>
  </cols>
  <sheetData>
    <row r="1" spans="1:5" x14ac:dyDescent="0.25">
      <c r="A1" t="s">
        <v>9</v>
      </c>
      <c r="B1" t="s">
        <v>10</v>
      </c>
      <c r="C1" t="s">
        <v>15</v>
      </c>
      <c r="D1" t="s">
        <v>16</v>
      </c>
      <c r="E1" t="s">
        <v>17</v>
      </c>
    </row>
    <row r="2" spans="1:5" x14ac:dyDescent="0.25">
      <c r="A2" t="s">
        <v>43</v>
      </c>
      <c r="B2" t="s">
        <v>44</v>
      </c>
      <c r="C2" t="s">
        <v>45</v>
      </c>
      <c r="D2" s="1">
        <v>1</v>
      </c>
      <c r="E2">
        <f>SUMIFS(hmov[CANTIDAD],hmov[IDPRODUCTO],prod[[#This Row],[IDPROD]],hmov[INOUT],1)-SUMIFS(hmov[CANTIDAD],hmov[IDPRODUCTO],prod[[#This Row],[IDPROD]],hmov[INOUT],0)</f>
        <v>0</v>
      </c>
    </row>
    <row r="3" spans="1:5" x14ac:dyDescent="0.25">
      <c r="A3" t="s">
        <v>46</v>
      </c>
      <c r="B3" t="s">
        <v>44</v>
      </c>
      <c r="C3" t="s">
        <v>47</v>
      </c>
      <c r="D3" s="1">
        <v>2</v>
      </c>
      <c r="E3">
        <f>SUMIFS(hmov[CANTIDAD],hmov[IDPRODUCTO],prod[[#This Row],[IDPROD]],hmov[INOUT],1)-SUMIFS(hmov[CANTIDAD],hmov[IDPRODUCTO],prod[[#This Row],[IDPROD]],hmov[INOUT],0)</f>
        <v>75</v>
      </c>
    </row>
    <row r="4" spans="1:5" x14ac:dyDescent="0.25">
      <c r="A4" t="s">
        <v>48</v>
      </c>
      <c r="B4" t="s">
        <v>44</v>
      </c>
      <c r="C4" t="s">
        <v>47</v>
      </c>
      <c r="D4" s="1">
        <v>3</v>
      </c>
      <c r="E4">
        <f>SUMIFS(hmov[CANTIDAD],hmov[IDPRODUCTO],prod[[#This Row],[IDPROD]],hmov[INOUT],1)-SUMIFS(hmov[CANTIDAD],hmov[IDPRODUCTO],prod[[#This Row],[IDPROD]],hmov[INOUT],0)</f>
        <v>0</v>
      </c>
    </row>
    <row r="5" spans="1:5" x14ac:dyDescent="0.25">
      <c r="A5" t="s">
        <v>49</v>
      </c>
      <c r="B5" t="s">
        <v>44</v>
      </c>
      <c r="C5" t="s">
        <v>47</v>
      </c>
      <c r="D5" s="1">
        <v>4</v>
      </c>
      <c r="E5" s="8">
        <f>SUMIFS(hmov[CANTIDAD],hmov[IDPRODUCTO],prod[[#This Row],[IDPROD]],hmov[INOUT],1)-SUMIFS(hmov[CANTIDAD],hmov[IDPRODUCTO],prod[[#This Row],[IDPROD]],hmov[INOUT],0)</f>
        <v>0</v>
      </c>
    </row>
    <row r="6" spans="1:5" x14ac:dyDescent="0.25">
      <c r="A6" t="s">
        <v>50</v>
      </c>
      <c r="B6" t="s">
        <v>44</v>
      </c>
      <c r="C6" t="s">
        <v>47</v>
      </c>
      <c r="D6" s="1">
        <v>5</v>
      </c>
      <c r="E6" s="8">
        <f>SUMIFS(hmov[CANTIDAD],hmov[IDPRODUCTO],prod[[#This Row],[IDPROD]],hmov[INOUT],1)-SUMIFS(hmov[CANTIDAD],hmov[IDPRODUCTO],prod[[#This Row],[IDPROD]],hmov[INOUT],0)</f>
        <v>0</v>
      </c>
    </row>
    <row r="7" spans="1:5" x14ac:dyDescent="0.25">
      <c r="A7" t="s">
        <v>51</v>
      </c>
      <c r="B7" t="s">
        <v>52</v>
      </c>
      <c r="C7" t="s">
        <v>53</v>
      </c>
      <c r="D7" s="1">
        <v>6</v>
      </c>
      <c r="E7" s="8">
        <f>SUMIFS(hmov[CANTIDAD],hmov[IDPRODUCTO],prod[[#This Row],[IDPROD]],hmov[INOUT],1)-SUMIFS(hmov[CANTIDAD],hmov[IDPRODUCTO],prod[[#This Row],[IDPROD]],hmov[INOUT],0)</f>
        <v>0</v>
      </c>
    </row>
    <row r="8" spans="1:5" x14ac:dyDescent="0.25">
      <c r="A8" t="s">
        <v>54</v>
      </c>
      <c r="B8" t="s">
        <v>55</v>
      </c>
      <c r="C8" t="s">
        <v>53</v>
      </c>
      <c r="D8" s="1">
        <v>7</v>
      </c>
      <c r="E8" s="8">
        <f>SUMIFS(hmov[CANTIDAD],hmov[IDPRODUCTO],prod[[#This Row],[IDPROD]],hmov[INOUT],1)-SUMIFS(hmov[CANTIDAD],hmov[IDPRODUCTO],prod[[#This Row],[IDPROD]],hmov[INOUT],0)</f>
        <v>0</v>
      </c>
    </row>
    <row r="9" spans="1:5" x14ac:dyDescent="0.25">
      <c r="A9" t="s">
        <v>56</v>
      </c>
      <c r="B9" t="s">
        <v>44</v>
      </c>
      <c r="C9" t="s">
        <v>57</v>
      </c>
      <c r="D9" s="1">
        <v>8</v>
      </c>
      <c r="E9" s="8">
        <f>SUMIFS(hmov[CANTIDAD],hmov[IDPRODUCTO],prod[[#This Row],[IDPROD]],hmov[INOUT],1)-SUMIFS(hmov[CANTIDAD],hmov[IDPRODUCTO],prod[[#This Row],[IDPROD]],hmov[INOUT],0)</f>
        <v>0</v>
      </c>
    </row>
    <row r="10" spans="1:5" x14ac:dyDescent="0.25">
      <c r="A10" t="s">
        <v>58</v>
      </c>
      <c r="B10" t="s">
        <v>44</v>
      </c>
      <c r="C10" t="s">
        <v>57</v>
      </c>
      <c r="D10" s="1">
        <v>9</v>
      </c>
      <c r="E10" s="8">
        <f>SUMIFS(hmov[CANTIDAD],hmov[IDPRODUCTO],prod[[#This Row],[IDPROD]],hmov[INOUT],1)-SUMIFS(hmov[CANTIDAD],hmov[IDPRODUCTO],prod[[#This Row],[IDPROD]],hmov[INOUT],0)</f>
        <v>0</v>
      </c>
    </row>
    <row r="11" spans="1:5" x14ac:dyDescent="0.25">
      <c r="A11" t="s">
        <v>59</v>
      </c>
      <c r="B11" t="s">
        <v>60</v>
      </c>
      <c r="C11" t="s">
        <v>57</v>
      </c>
      <c r="D11" s="1">
        <v>10</v>
      </c>
      <c r="E11" s="8">
        <f>SUMIFS(hmov[CANTIDAD],hmov[IDPRODUCTO],prod[[#This Row],[IDPROD]],hmov[INOUT],1)-SUMIFS(hmov[CANTIDAD],hmov[IDPRODUCTO],prod[[#This Row],[IDPROD]],hmov[INOUT],0)</f>
        <v>0</v>
      </c>
    </row>
    <row r="12" spans="1:5" x14ac:dyDescent="0.25">
      <c r="A12" t="s">
        <v>61</v>
      </c>
      <c r="B12" t="s">
        <v>44</v>
      </c>
      <c r="C12" t="s">
        <v>53</v>
      </c>
      <c r="D12" s="1">
        <v>11</v>
      </c>
      <c r="E12" s="8">
        <f>SUMIFS(hmov[CANTIDAD],hmov[IDPRODUCTO],prod[[#This Row],[IDPROD]],hmov[INOUT],1)-SUMIFS(hmov[CANTIDAD],hmov[IDPRODUCTO],prod[[#This Row],[IDPROD]],hmov[INOUT],0)</f>
        <v>0</v>
      </c>
    </row>
    <row r="13" spans="1:5" x14ac:dyDescent="0.25">
      <c r="A13" t="s">
        <v>62</v>
      </c>
      <c r="B13" t="s">
        <v>44</v>
      </c>
      <c r="C13" t="s">
        <v>53</v>
      </c>
      <c r="D13" s="1">
        <v>12</v>
      </c>
      <c r="E13" s="8">
        <f>SUMIFS(hmov[CANTIDAD],hmov[IDPRODUCTO],prod[[#This Row],[IDPROD]],hmov[INOUT],1)-SUMIFS(hmov[CANTIDAD],hmov[IDPRODUCTO],prod[[#This Row],[IDPROD]],hmov[INOUT],0)</f>
        <v>0</v>
      </c>
    </row>
    <row r="14" spans="1:5" x14ac:dyDescent="0.25">
      <c r="A14" t="s">
        <v>63</v>
      </c>
      <c r="B14" t="s">
        <v>44</v>
      </c>
      <c r="C14" t="s">
        <v>57</v>
      </c>
      <c r="D14" s="1">
        <v>13</v>
      </c>
      <c r="E14" s="8">
        <f>SUMIFS(hmov[CANTIDAD],hmov[IDPRODUCTO],prod[[#This Row],[IDPROD]],hmov[INOUT],1)-SUMIFS(hmov[CANTIDAD],hmov[IDPRODUCTO],prod[[#This Row],[IDPROD]],hmov[INOUT],0)</f>
        <v>0</v>
      </c>
    </row>
    <row r="15" spans="1:5" x14ac:dyDescent="0.25">
      <c r="A15" t="s">
        <v>64</v>
      </c>
      <c r="B15" t="s">
        <v>52</v>
      </c>
      <c r="C15" t="s">
        <v>53</v>
      </c>
      <c r="D15" s="1">
        <v>14</v>
      </c>
      <c r="E15" s="8">
        <f>SUMIFS(hmov[CANTIDAD],hmov[IDPRODUCTO],prod[[#This Row],[IDPROD]],hmov[INOUT],1)-SUMIFS(hmov[CANTIDAD],hmov[IDPRODUCTO],prod[[#This Row],[IDPROD]],hmov[INOUT],0)</f>
        <v>0</v>
      </c>
    </row>
    <row r="16" spans="1:5" x14ac:dyDescent="0.25">
      <c r="A16" t="s">
        <v>65</v>
      </c>
      <c r="B16" t="s">
        <v>44</v>
      </c>
      <c r="C16" t="s">
        <v>53</v>
      </c>
      <c r="D16" s="1">
        <v>15</v>
      </c>
      <c r="E16" s="8">
        <f>SUMIFS(hmov[CANTIDAD],hmov[IDPRODUCTO],prod[[#This Row],[IDPROD]],hmov[INOUT],1)-SUMIFS(hmov[CANTIDAD],hmov[IDPRODUCTO],prod[[#This Row],[IDPROD]],hmov[INOUT],0)</f>
        <v>0</v>
      </c>
    </row>
    <row r="17" spans="1:5" x14ac:dyDescent="0.25">
      <c r="A17" t="s">
        <v>66</v>
      </c>
      <c r="B17" t="s">
        <v>44</v>
      </c>
      <c r="C17" t="s">
        <v>53</v>
      </c>
      <c r="D17" s="1">
        <v>16</v>
      </c>
      <c r="E17" s="8">
        <f>SUMIFS(hmov[CANTIDAD],hmov[IDPRODUCTO],prod[[#This Row],[IDPROD]],hmov[INOUT],1)-SUMIFS(hmov[CANTIDAD],hmov[IDPRODUCTO],prod[[#This Row],[IDPROD]],hmov[INOUT],0)</f>
        <v>0</v>
      </c>
    </row>
    <row r="18" spans="1:5" x14ac:dyDescent="0.25">
      <c r="A18" t="s">
        <v>67</v>
      </c>
      <c r="B18" t="s">
        <v>44</v>
      </c>
      <c r="C18" t="s">
        <v>53</v>
      </c>
      <c r="D18" s="1">
        <v>17</v>
      </c>
      <c r="E18" s="8">
        <f>SUMIFS(hmov[CANTIDAD],hmov[IDPRODUCTO],prod[[#This Row],[IDPROD]],hmov[INOUT],1)-SUMIFS(hmov[CANTIDAD],hmov[IDPRODUCTO],prod[[#This Row],[IDPROD]],hmov[INOUT],0)</f>
        <v>0</v>
      </c>
    </row>
    <row r="19" spans="1:5" x14ac:dyDescent="0.25">
      <c r="A19" t="s">
        <v>68</v>
      </c>
      <c r="B19" t="s">
        <v>44</v>
      </c>
      <c r="C19" t="s">
        <v>53</v>
      </c>
      <c r="D19" s="1">
        <v>18</v>
      </c>
      <c r="E19" s="8">
        <f>SUMIFS(hmov[CANTIDAD],hmov[IDPRODUCTO],prod[[#This Row],[IDPROD]],hmov[INOUT],1)-SUMIFS(hmov[CANTIDAD],hmov[IDPRODUCTO],prod[[#This Row],[IDPROD]],hmov[INOUT],0)</f>
        <v>0</v>
      </c>
    </row>
    <row r="20" spans="1:5" x14ac:dyDescent="0.25">
      <c r="A20" t="s">
        <v>69</v>
      </c>
      <c r="B20" t="s">
        <v>44</v>
      </c>
      <c r="C20" t="s">
        <v>53</v>
      </c>
      <c r="D20" s="1">
        <v>19</v>
      </c>
      <c r="E20" s="8">
        <f>SUMIFS(hmov[CANTIDAD],hmov[IDPRODUCTO],prod[[#This Row],[IDPROD]],hmov[INOUT],1)-SUMIFS(hmov[CANTIDAD],hmov[IDPRODUCTO],prod[[#This Row],[IDPROD]],hmov[INOUT],0)</f>
        <v>0</v>
      </c>
    </row>
    <row r="21" spans="1:5" x14ac:dyDescent="0.25">
      <c r="A21" t="s">
        <v>70</v>
      </c>
      <c r="B21" t="s">
        <v>71</v>
      </c>
      <c r="C21" t="s">
        <v>72</v>
      </c>
      <c r="D21" s="1">
        <v>20</v>
      </c>
      <c r="E21" s="8">
        <f>SUMIFS(hmov[CANTIDAD],hmov[IDPRODUCTO],prod[[#This Row],[IDPROD]],hmov[INOUT],1)-SUMIFS(hmov[CANTIDAD],hmov[IDPRODUCTO],prod[[#This Row],[IDPROD]],hmov[INOUT],0)</f>
        <v>0</v>
      </c>
    </row>
    <row r="22" spans="1:5" x14ac:dyDescent="0.25">
      <c r="A22" t="s">
        <v>73</v>
      </c>
      <c r="B22" t="s">
        <v>71</v>
      </c>
      <c r="C22" t="s">
        <v>72</v>
      </c>
      <c r="D22" s="1">
        <v>21</v>
      </c>
      <c r="E22" s="8">
        <f>SUMIFS(hmov[CANTIDAD],hmov[IDPRODUCTO],prod[[#This Row],[IDPROD]],hmov[INOUT],1)-SUMIFS(hmov[CANTIDAD],hmov[IDPRODUCTO],prod[[#This Row],[IDPROD]],hmov[INOUT],0)</f>
        <v>0</v>
      </c>
    </row>
    <row r="23" spans="1:5" x14ac:dyDescent="0.25">
      <c r="A23" t="s">
        <v>74</v>
      </c>
      <c r="B23" t="s">
        <v>71</v>
      </c>
      <c r="C23" t="s">
        <v>72</v>
      </c>
      <c r="D23" s="1">
        <v>22</v>
      </c>
      <c r="E23" s="8">
        <f>SUMIFS(hmov[CANTIDAD],hmov[IDPRODUCTO],prod[[#This Row],[IDPROD]],hmov[INOUT],1)-SUMIFS(hmov[CANTIDAD],hmov[IDPRODUCTO],prod[[#This Row],[IDPROD]],hmov[INOUT],0)</f>
        <v>0</v>
      </c>
    </row>
    <row r="24" spans="1:5" x14ac:dyDescent="0.25">
      <c r="A24" t="s">
        <v>75</v>
      </c>
      <c r="B24" t="s">
        <v>71</v>
      </c>
      <c r="C24" t="s">
        <v>72</v>
      </c>
      <c r="D24" s="1">
        <v>23</v>
      </c>
      <c r="E24" s="8">
        <f>SUMIFS(hmov[CANTIDAD],hmov[IDPRODUCTO],prod[[#This Row],[IDPROD]],hmov[INOUT],1)-SUMIFS(hmov[CANTIDAD],hmov[IDPRODUCTO],prod[[#This Row],[IDPROD]],hmov[INOUT],0)</f>
        <v>0</v>
      </c>
    </row>
    <row r="25" spans="1:5" x14ac:dyDescent="0.25">
      <c r="A25" t="s">
        <v>76</v>
      </c>
      <c r="B25" t="s">
        <v>71</v>
      </c>
      <c r="C25" t="s">
        <v>72</v>
      </c>
      <c r="D25" s="1">
        <v>24</v>
      </c>
      <c r="E25" s="8">
        <f>SUMIFS(hmov[CANTIDAD],hmov[IDPRODUCTO],prod[[#This Row],[IDPROD]],hmov[INOUT],1)-SUMIFS(hmov[CANTIDAD],hmov[IDPRODUCTO],prod[[#This Row],[IDPROD]],hmov[INOUT],0)</f>
        <v>0</v>
      </c>
    </row>
    <row r="26" spans="1:5" x14ac:dyDescent="0.25">
      <c r="A26" t="s">
        <v>77</v>
      </c>
      <c r="B26" t="s">
        <v>60</v>
      </c>
      <c r="C26" t="s">
        <v>57</v>
      </c>
      <c r="D26" s="1">
        <v>25</v>
      </c>
      <c r="E26" s="8">
        <f>SUMIFS(hmov[CANTIDAD],hmov[IDPRODUCTO],prod[[#This Row],[IDPROD]],hmov[INOUT],1)-SUMIFS(hmov[CANTIDAD],hmov[IDPRODUCTO],prod[[#This Row],[IDPROD]],hmov[INOUT],0)</f>
        <v>0</v>
      </c>
    </row>
    <row r="27" spans="1:5" x14ac:dyDescent="0.25">
      <c r="A27" t="s">
        <v>78</v>
      </c>
      <c r="B27" t="s">
        <v>52</v>
      </c>
      <c r="C27" t="s">
        <v>57</v>
      </c>
      <c r="D27" s="1">
        <v>26</v>
      </c>
      <c r="E27" s="8">
        <f>SUMIFS(hmov[CANTIDAD],hmov[IDPRODUCTO],prod[[#This Row],[IDPROD]],hmov[INOUT],1)-SUMIFS(hmov[CANTIDAD],hmov[IDPRODUCTO],prod[[#This Row],[IDPROD]],hmov[INOUT],0)</f>
        <v>0</v>
      </c>
    </row>
    <row r="28" spans="1:5" x14ac:dyDescent="0.25">
      <c r="A28" t="s">
        <v>79</v>
      </c>
      <c r="B28" t="s">
        <v>52</v>
      </c>
      <c r="C28" t="s">
        <v>57</v>
      </c>
      <c r="D28" s="1">
        <v>27</v>
      </c>
      <c r="E28" s="8">
        <f>SUMIFS(hmov[CANTIDAD],hmov[IDPRODUCTO],prod[[#This Row],[IDPROD]],hmov[INOUT],1)-SUMIFS(hmov[CANTIDAD],hmov[IDPRODUCTO],prod[[#This Row],[IDPROD]],hmov[INOUT],0)</f>
        <v>0</v>
      </c>
    </row>
    <row r="29" spans="1:5" x14ac:dyDescent="0.25">
      <c r="A29" t="s">
        <v>80</v>
      </c>
      <c r="B29" t="s">
        <v>52</v>
      </c>
      <c r="C29" t="s">
        <v>57</v>
      </c>
      <c r="D29" s="1">
        <v>28</v>
      </c>
      <c r="E29" s="8">
        <f>SUMIFS(hmov[CANTIDAD],hmov[IDPRODUCTO],prod[[#This Row],[IDPROD]],hmov[INOUT],1)-SUMIFS(hmov[CANTIDAD],hmov[IDPRODUCTO],prod[[#This Row],[IDPROD]],hmov[INOUT],0)</f>
        <v>0</v>
      </c>
    </row>
    <row r="30" spans="1:5" x14ac:dyDescent="0.25">
      <c r="A30" t="s">
        <v>81</v>
      </c>
      <c r="B30" t="s">
        <v>52</v>
      </c>
      <c r="C30" t="s">
        <v>57</v>
      </c>
      <c r="D30" s="1">
        <v>29</v>
      </c>
      <c r="E30" s="8">
        <f>SUMIFS(hmov[CANTIDAD],hmov[IDPRODUCTO],prod[[#This Row],[IDPROD]],hmov[INOUT],1)-SUMIFS(hmov[CANTIDAD],hmov[IDPRODUCTO],prod[[#This Row],[IDPROD]],hmov[INOUT],0)</f>
        <v>0</v>
      </c>
    </row>
    <row r="31" spans="1:5" x14ac:dyDescent="0.25">
      <c r="A31" t="s">
        <v>82</v>
      </c>
      <c r="B31" t="s">
        <v>60</v>
      </c>
      <c r="C31" t="s">
        <v>57</v>
      </c>
      <c r="D31" s="1">
        <v>30</v>
      </c>
      <c r="E31" s="8">
        <f>SUMIFS(hmov[CANTIDAD],hmov[IDPRODUCTO],prod[[#This Row],[IDPROD]],hmov[INOUT],1)-SUMIFS(hmov[CANTIDAD],hmov[IDPRODUCTO],prod[[#This Row],[IDPROD]],hmov[INOUT],0)</f>
        <v>0</v>
      </c>
    </row>
    <row r="32" spans="1:5" x14ac:dyDescent="0.25">
      <c r="A32" t="s">
        <v>83</v>
      </c>
      <c r="B32" t="s">
        <v>52</v>
      </c>
      <c r="C32" t="s">
        <v>57</v>
      </c>
      <c r="D32" s="1">
        <v>31</v>
      </c>
      <c r="E32" s="8">
        <f>SUMIFS(hmov[CANTIDAD],hmov[IDPRODUCTO],prod[[#This Row],[IDPROD]],hmov[INOUT],1)-SUMIFS(hmov[CANTIDAD],hmov[IDPRODUCTO],prod[[#This Row],[IDPROD]],hmov[INOUT],0)</f>
        <v>0</v>
      </c>
    </row>
    <row r="33" spans="1:5" x14ac:dyDescent="0.25">
      <c r="A33" t="s">
        <v>84</v>
      </c>
      <c r="B33" t="s">
        <v>44</v>
      </c>
      <c r="C33" t="s">
        <v>57</v>
      </c>
      <c r="D33" s="1">
        <v>32</v>
      </c>
      <c r="E33" s="8">
        <f>SUMIFS(hmov[CANTIDAD],hmov[IDPRODUCTO],prod[[#This Row],[IDPROD]],hmov[INOUT],1)-SUMIFS(hmov[CANTIDAD],hmov[IDPRODUCTO],prod[[#This Row],[IDPROD]],hmov[INOUT],0)</f>
        <v>0</v>
      </c>
    </row>
    <row r="34" spans="1:5" x14ac:dyDescent="0.25">
      <c r="A34" t="s">
        <v>85</v>
      </c>
      <c r="B34" t="s">
        <v>44</v>
      </c>
      <c r="C34" t="s">
        <v>57</v>
      </c>
      <c r="D34" s="1">
        <v>33</v>
      </c>
      <c r="E34" s="8">
        <f>SUMIFS(hmov[CANTIDAD],hmov[IDPRODUCTO],prod[[#This Row],[IDPROD]],hmov[INOUT],1)-SUMIFS(hmov[CANTIDAD],hmov[IDPRODUCTO],prod[[#This Row],[IDPROD]],hmov[INOUT],0)</f>
        <v>0</v>
      </c>
    </row>
    <row r="35" spans="1:5" x14ac:dyDescent="0.25">
      <c r="A35" t="s">
        <v>86</v>
      </c>
      <c r="B35" t="s">
        <v>44</v>
      </c>
      <c r="C35" t="s">
        <v>57</v>
      </c>
      <c r="D35" s="1">
        <v>34</v>
      </c>
      <c r="E35" s="8">
        <f>SUMIFS(hmov[CANTIDAD],hmov[IDPRODUCTO],prod[[#This Row],[IDPROD]],hmov[INOUT],1)-SUMIFS(hmov[CANTIDAD],hmov[IDPRODUCTO],prod[[#This Row],[IDPROD]],hmov[INOUT],0)</f>
        <v>0</v>
      </c>
    </row>
    <row r="36" spans="1:5" x14ac:dyDescent="0.25">
      <c r="A36" t="s">
        <v>87</v>
      </c>
      <c r="B36" t="s">
        <v>71</v>
      </c>
      <c r="C36" t="s">
        <v>88</v>
      </c>
      <c r="D36" s="1">
        <v>35</v>
      </c>
      <c r="E36" s="8">
        <f>SUMIFS(hmov[CANTIDAD],hmov[IDPRODUCTO],prod[[#This Row],[IDPROD]],hmov[INOUT],1)-SUMIFS(hmov[CANTIDAD],hmov[IDPRODUCTO],prod[[#This Row],[IDPROD]],hmov[INOUT],0)</f>
        <v>0</v>
      </c>
    </row>
    <row r="37" spans="1:5" x14ac:dyDescent="0.25">
      <c r="A37" t="s">
        <v>89</v>
      </c>
      <c r="B37" t="s">
        <v>71</v>
      </c>
      <c r="C37" t="s">
        <v>88</v>
      </c>
      <c r="D37" s="1">
        <v>36</v>
      </c>
      <c r="E37" s="8">
        <f>SUMIFS(hmov[CANTIDAD],hmov[IDPRODUCTO],prod[[#This Row],[IDPROD]],hmov[INOUT],1)-SUMIFS(hmov[CANTIDAD],hmov[IDPRODUCTO],prod[[#This Row],[IDPROD]],hmov[INOUT],0)</f>
        <v>0</v>
      </c>
    </row>
    <row r="38" spans="1:5" x14ac:dyDescent="0.25">
      <c r="A38" t="s">
        <v>90</v>
      </c>
      <c r="B38" t="s">
        <v>71</v>
      </c>
      <c r="C38" t="s">
        <v>88</v>
      </c>
      <c r="D38" s="1">
        <v>37</v>
      </c>
      <c r="E38" s="8">
        <f>SUMIFS(hmov[CANTIDAD],hmov[IDPRODUCTO],prod[[#This Row],[IDPROD]],hmov[INOUT],1)-SUMIFS(hmov[CANTIDAD],hmov[IDPRODUCTO],prod[[#This Row],[IDPROD]],hmov[INOUT],0)</f>
        <v>0</v>
      </c>
    </row>
    <row r="39" spans="1:5" x14ac:dyDescent="0.25">
      <c r="A39" t="s">
        <v>91</v>
      </c>
      <c r="B39" t="s">
        <v>71</v>
      </c>
      <c r="C39" t="s">
        <v>88</v>
      </c>
      <c r="D39" s="1">
        <v>38</v>
      </c>
      <c r="E39" s="8">
        <f>SUMIFS(hmov[CANTIDAD],hmov[IDPRODUCTO],prod[[#This Row],[IDPROD]],hmov[INOUT],1)-SUMIFS(hmov[CANTIDAD],hmov[IDPRODUCTO],prod[[#This Row],[IDPROD]],hmov[INOUT],0)</f>
        <v>0</v>
      </c>
    </row>
    <row r="40" spans="1:5" x14ac:dyDescent="0.25">
      <c r="A40" t="s">
        <v>92</v>
      </c>
      <c r="B40" t="s">
        <v>71</v>
      </c>
      <c r="C40" t="s">
        <v>88</v>
      </c>
      <c r="D40" s="1">
        <v>39</v>
      </c>
      <c r="E40" s="8">
        <f>SUMIFS(hmov[CANTIDAD],hmov[IDPRODUCTO],prod[[#This Row],[IDPROD]],hmov[INOUT],1)-SUMIFS(hmov[CANTIDAD],hmov[IDPRODUCTO],prod[[#This Row],[IDPROD]],hmov[INOUT],0)</f>
        <v>0</v>
      </c>
    </row>
    <row r="41" spans="1:5" x14ac:dyDescent="0.25">
      <c r="A41" t="s">
        <v>93</v>
      </c>
      <c r="B41" t="s">
        <v>71</v>
      </c>
      <c r="C41" t="s">
        <v>88</v>
      </c>
      <c r="D41" s="1">
        <v>40</v>
      </c>
      <c r="E41" s="8">
        <f>SUMIFS(hmov[CANTIDAD],hmov[IDPRODUCTO],prod[[#This Row],[IDPROD]],hmov[INOUT],1)-SUMIFS(hmov[CANTIDAD],hmov[IDPRODUCTO],prod[[#This Row],[IDPROD]],hmov[INOUT],0)</f>
        <v>0</v>
      </c>
    </row>
    <row r="42" spans="1:5" x14ac:dyDescent="0.25">
      <c r="A42" t="s">
        <v>94</v>
      </c>
      <c r="B42" t="s">
        <v>71</v>
      </c>
      <c r="C42" t="s">
        <v>88</v>
      </c>
      <c r="D42" s="1">
        <v>41</v>
      </c>
      <c r="E42" s="8">
        <f>SUMIFS(hmov[CANTIDAD],hmov[IDPRODUCTO],prod[[#This Row],[IDPROD]],hmov[INOUT],1)-SUMIFS(hmov[CANTIDAD],hmov[IDPRODUCTO],prod[[#This Row],[IDPROD]],hmov[INOUT],0)</f>
        <v>0</v>
      </c>
    </row>
    <row r="43" spans="1:5" x14ac:dyDescent="0.25">
      <c r="A43" t="s">
        <v>95</v>
      </c>
      <c r="B43" t="s">
        <v>71</v>
      </c>
      <c r="C43" t="s">
        <v>88</v>
      </c>
      <c r="D43" s="1">
        <v>42</v>
      </c>
      <c r="E43" s="8">
        <f>SUMIFS(hmov[CANTIDAD],hmov[IDPRODUCTO],prod[[#This Row],[IDPROD]],hmov[INOUT],1)-SUMIFS(hmov[CANTIDAD],hmov[IDPRODUCTO],prod[[#This Row],[IDPROD]],hmov[INOUT],0)</f>
        <v>0</v>
      </c>
    </row>
    <row r="44" spans="1:5" x14ac:dyDescent="0.25">
      <c r="A44" t="s">
        <v>96</v>
      </c>
      <c r="B44" t="s">
        <v>71</v>
      </c>
      <c r="C44" t="s">
        <v>88</v>
      </c>
      <c r="D44" s="1">
        <v>43</v>
      </c>
      <c r="E44" s="8">
        <f>SUMIFS(hmov[CANTIDAD],hmov[IDPRODUCTO],prod[[#This Row],[IDPROD]],hmov[INOUT],1)-SUMIFS(hmov[CANTIDAD],hmov[IDPRODUCTO],prod[[#This Row],[IDPROD]],hmov[INOUT],0)</f>
        <v>0</v>
      </c>
    </row>
    <row r="45" spans="1:5" x14ac:dyDescent="0.25">
      <c r="A45" t="s">
        <v>97</v>
      </c>
      <c r="B45" t="s">
        <v>71</v>
      </c>
      <c r="C45" t="s">
        <v>88</v>
      </c>
      <c r="D45" s="1">
        <v>44</v>
      </c>
      <c r="E45" s="8">
        <f>SUMIFS(hmov[CANTIDAD],hmov[IDPRODUCTO],prod[[#This Row],[IDPROD]],hmov[INOUT],1)-SUMIFS(hmov[CANTIDAD],hmov[IDPRODUCTO],prod[[#This Row],[IDPROD]],hmov[INOUT],0)</f>
        <v>0</v>
      </c>
    </row>
    <row r="46" spans="1:5" x14ac:dyDescent="0.25">
      <c r="A46" t="s">
        <v>98</v>
      </c>
      <c r="B46" t="s">
        <v>71</v>
      </c>
      <c r="C46" t="s">
        <v>88</v>
      </c>
      <c r="D46" s="1">
        <v>45</v>
      </c>
      <c r="E46" s="8">
        <f>SUMIFS(hmov[CANTIDAD],hmov[IDPRODUCTO],prod[[#This Row],[IDPROD]],hmov[INOUT],1)-SUMIFS(hmov[CANTIDAD],hmov[IDPRODUCTO],prod[[#This Row],[IDPROD]],hmov[INOUT],0)</f>
        <v>0</v>
      </c>
    </row>
    <row r="47" spans="1:5" x14ac:dyDescent="0.25">
      <c r="A47" t="s">
        <v>99</v>
      </c>
      <c r="B47" t="s">
        <v>71</v>
      </c>
      <c r="C47" t="s">
        <v>88</v>
      </c>
      <c r="D47" s="1">
        <v>46</v>
      </c>
      <c r="E47" s="8">
        <f>SUMIFS(hmov[CANTIDAD],hmov[IDPRODUCTO],prod[[#This Row],[IDPROD]],hmov[INOUT],1)-SUMIFS(hmov[CANTIDAD],hmov[IDPRODUCTO],prod[[#This Row],[IDPROD]],hmov[INOUT],0)</f>
        <v>0</v>
      </c>
    </row>
    <row r="48" spans="1:5" x14ac:dyDescent="0.25">
      <c r="A48" t="s">
        <v>100</v>
      </c>
      <c r="B48" t="s">
        <v>71</v>
      </c>
      <c r="C48" t="s">
        <v>88</v>
      </c>
      <c r="D48" s="1">
        <v>47</v>
      </c>
      <c r="E48" s="8">
        <f>SUMIFS(hmov[CANTIDAD],hmov[IDPRODUCTO],prod[[#This Row],[IDPROD]],hmov[INOUT],1)-SUMIFS(hmov[CANTIDAD],hmov[IDPRODUCTO],prod[[#This Row],[IDPROD]],hmov[INOUT],0)</f>
        <v>0</v>
      </c>
    </row>
    <row r="49" spans="1:5" x14ac:dyDescent="0.25">
      <c r="A49" t="s">
        <v>101</v>
      </c>
      <c r="B49" t="s">
        <v>71</v>
      </c>
      <c r="C49" t="s">
        <v>88</v>
      </c>
      <c r="D49" s="1">
        <v>48</v>
      </c>
      <c r="E49" s="8">
        <f>SUMIFS(hmov[CANTIDAD],hmov[IDPRODUCTO],prod[[#This Row],[IDPROD]],hmov[INOUT],1)-SUMIFS(hmov[CANTIDAD],hmov[IDPRODUCTO],prod[[#This Row],[IDPROD]],hmov[INOUT],0)</f>
        <v>0</v>
      </c>
    </row>
    <row r="50" spans="1:5" x14ac:dyDescent="0.25">
      <c r="A50" t="s">
        <v>102</v>
      </c>
      <c r="B50" t="s">
        <v>71</v>
      </c>
      <c r="C50" t="s">
        <v>88</v>
      </c>
      <c r="D50" s="1">
        <v>49</v>
      </c>
      <c r="E50" s="8">
        <f>SUMIFS(hmov[CANTIDAD],hmov[IDPRODUCTO],prod[[#This Row],[IDPROD]],hmov[INOUT],1)-SUMIFS(hmov[CANTIDAD],hmov[IDPRODUCTO],prod[[#This Row],[IDPROD]],hmov[INOUT],0)</f>
        <v>0</v>
      </c>
    </row>
    <row r="51" spans="1:5" x14ac:dyDescent="0.25">
      <c r="A51" t="s">
        <v>103</v>
      </c>
      <c r="B51" t="s">
        <v>71</v>
      </c>
      <c r="C51" t="s">
        <v>88</v>
      </c>
      <c r="D51" s="1">
        <v>50</v>
      </c>
      <c r="E51" s="8">
        <f>SUMIFS(hmov[CANTIDAD],hmov[IDPRODUCTO],prod[[#This Row],[IDPROD]],hmov[INOUT],1)-SUMIFS(hmov[CANTIDAD],hmov[IDPRODUCTO],prod[[#This Row],[IDPROD]],hmov[INOUT],0)</f>
        <v>0</v>
      </c>
    </row>
    <row r="52" spans="1:5" x14ac:dyDescent="0.25">
      <c r="A52" t="s">
        <v>104</v>
      </c>
      <c r="B52" t="s">
        <v>71</v>
      </c>
      <c r="C52" t="s">
        <v>88</v>
      </c>
      <c r="D52" s="1">
        <v>51</v>
      </c>
      <c r="E52" s="8">
        <f>SUMIFS(hmov[CANTIDAD],hmov[IDPRODUCTO],prod[[#This Row],[IDPROD]],hmov[INOUT],1)-SUMIFS(hmov[CANTIDAD],hmov[IDPRODUCTO],prod[[#This Row],[IDPROD]],hmov[INOUT],0)</f>
        <v>0</v>
      </c>
    </row>
    <row r="53" spans="1:5" x14ac:dyDescent="0.25">
      <c r="A53" t="s">
        <v>105</v>
      </c>
      <c r="B53" t="s">
        <v>71</v>
      </c>
      <c r="C53" t="s">
        <v>88</v>
      </c>
      <c r="D53" s="1">
        <v>52</v>
      </c>
      <c r="E53" s="8">
        <f>SUMIFS(hmov[CANTIDAD],hmov[IDPRODUCTO],prod[[#This Row],[IDPROD]],hmov[INOUT],1)-SUMIFS(hmov[CANTIDAD],hmov[IDPRODUCTO],prod[[#This Row],[IDPROD]],hmov[INOUT],0)</f>
        <v>0</v>
      </c>
    </row>
    <row r="54" spans="1:5" x14ac:dyDescent="0.25">
      <c r="A54" t="s">
        <v>106</v>
      </c>
      <c r="B54" t="s">
        <v>71</v>
      </c>
      <c r="C54" t="s">
        <v>88</v>
      </c>
      <c r="D54" s="1">
        <v>53</v>
      </c>
      <c r="E54" s="8">
        <f>SUMIFS(hmov[CANTIDAD],hmov[IDPRODUCTO],prod[[#This Row],[IDPROD]],hmov[INOUT],1)-SUMIFS(hmov[CANTIDAD],hmov[IDPRODUCTO],prod[[#This Row],[IDPROD]],hmov[INOUT],0)</f>
        <v>0</v>
      </c>
    </row>
    <row r="55" spans="1:5" x14ac:dyDescent="0.25">
      <c r="A55" t="s">
        <v>107</v>
      </c>
      <c r="B55" t="s">
        <v>71</v>
      </c>
      <c r="C55" t="s">
        <v>88</v>
      </c>
      <c r="D55" s="1">
        <v>54</v>
      </c>
      <c r="E55" s="8">
        <f>SUMIFS(hmov[CANTIDAD],hmov[IDPRODUCTO],prod[[#This Row],[IDPROD]],hmov[INOUT],1)-SUMIFS(hmov[CANTIDAD],hmov[IDPRODUCTO],prod[[#This Row],[IDPROD]],hmov[INOUT],0)</f>
        <v>0</v>
      </c>
    </row>
    <row r="56" spans="1:5" x14ac:dyDescent="0.25">
      <c r="A56" t="s">
        <v>108</v>
      </c>
      <c r="B56" t="s">
        <v>71</v>
      </c>
      <c r="C56" t="s">
        <v>88</v>
      </c>
      <c r="D56" s="1">
        <v>55</v>
      </c>
      <c r="E56" s="8">
        <f>SUMIFS(hmov[CANTIDAD],hmov[IDPRODUCTO],prod[[#This Row],[IDPROD]],hmov[INOUT],1)-SUMIFS(hmov[CANTIDAD],hmov[IDPRODUCTO],prod[[#This Row],[IDPROD]],hmov[INOUT],0)</f>
        <v>0</v>
      </c>
    </row>
    <row r="57" spans="1:5" x14ac:dyDescent="0.25">
      <c r="A57" t="s">
        <v>109</v>
      </c>
      <c r="B57" t="s">
        <v>71</v>
      </c>
      <c r="C57" t="s">
        <v>88</v>
      </c>
      <c r="D57" s="1">
        <v>56</v>
      </c>
      <c r="E57" s="8">
        <f>SUMIFS(hmov[CANTIDAD],hmov[IDPRODUCTO],prod[[#This Row],[IDPROD]],hmov[INOUT],1)-SUMIFS(hmov[CANTIDAD],hmov[IDPRODUCTO],prod[[#This Row],[IDPROD]],hmov[INOUT],0)</f>
        <v>0</v>
      </c>
    </row>
    <row r="58" spans="1:5" x14ac:dyDescent="0.25">
      <c r="A58" t="s">
        <v>110</v>
      </c>
      <c r="B58" t="s">
        <v>71</v>
      </c>
      <c r="C58" t="s">
        <v>88</v>
      </c>
      <c r="D58" s="1">
        <v>57</v>
      </c>
      <c r="E58" s="8">
        <f>SUMIFS(hmov[CANTIDAD],hmov[IDPRODUCTO],prod[[#This Row],[IDPROD]],hmov[INOUT],1)-SUMIFS(hmov[CANTIDAD],hmov[IDPRODUCTO],prod[[#This Row],[IDPROD]],hmov[INOUT],0)</f>
        <v>0</v>
      </c>
    </row>
    <row r="59" spans="1:5" x14ac:dyDescent="0.25">
      <c r="A59" t="s">
        <v>111</v>
      </c>
      <c r="B59" t="s">
        <v>55</v>
      </c>
      <c r="C59" t="s">
        <v>53</v>
      </c>
      <c r="D59" s="1">
        <v>58</v>
      </c>
      <c r="E59" s="8">
        <f>SUMIFS(hmov[CANTIDAD],hmov[IDPRODUCTO],prod[[#This Row],[IDPROD]],hmov[INOUT],1)-SUMIFS(hmov[CANTIDAD],hmov[IDPRODUCTO],prod[[#This Row],[IDPROD]],hmov[INOUT],0)</f>
        <v>0</v>
      </c>
    </row>
    <row r="60" spans="1:5" x14ac:dyDescent="0.25">
      <c r="A60" t="s">
        <v>112</v>
      </c>
      <c r="B60" t="s">
        <v>71</v>
      </c>
      <c r="C60" t="s">
        <v>113</v>
      </c>
      <c r="D60" s="1">
        <v>59</v>
      </c>
      <c r="E60" s="8">
        <f>SUMIFS(hmov[CANTIDAD],hmov[IDPRODUCTO],prod[[#This Row],[IDPROD]],hmov[INOUT],1)-SUMIFS(hmov[CANTIDAD],hmov[IDPRODUCTO],prod[[#This Row],[IDPROD]],hmov[INOUT],0)</f>
        <v>0</v>
      </c>
    </row>
    <row r="61" spans="1:5" x14ac:dyDescent="0.25">
      <c r="A61" t="s">
        <v>114</v>
      </c>
      <c r="B61" t="s">
        <v>71</v>
      </c>
      <c r="C61" t="s">
        <v>113</v>
      </c>
      <c r="D61" s="1">
        <v>60</v>
      </c>
      <c r="E61" s="8">
        <f>SUMIFS(hmov[CANTIDAD],hmov[IDPRODUCTO],prod[[#This Row],[IDPROD]],hmov[INOUT],1)-SUMIFS(hmov[CANTIDAD],hmov[IDPRODUCTO],prod[[#This Row],[IDPROD]],hmov[INOUT],0)</f>
        <v>0</v>
      </c>
    </row>
    <row r="62" spans="1:5" x14ac:dyDescent="0.25">
      <c r="A62" t="s">
        <v>115</v>
      </c>
      <c r="B62" t="s">
        <v>71</v>
      </c>
      <c r="C62" t="s">
        <v>113</v>
      </c>
      <c r="D62" s="1">
        <v>61</v>
      </c>
      <c r="E62" s="8">
        <f>SUMIFS(hmov[CANTIDAD],hmov[IDPRODUCTO],prod[[#This Row],[IDPROD]],hmov[INOUT],1)-SUMIFS(hmov[CANTIDAD],hmov[IDPRODUCTO],prod[[#This Row],[IDPROD]],hmov[INOUT],0)</f>
        <v>0</v>
      </c>
    </row>
    <row r="63" spans="1:5" x14ac:dyDescent="0.25">
      <c r="A63" t="s">
        <v>116</v>
      </c>
      <c r="B63" t="s">
        <v>71</v>
      </c>
      <c r="C63" t="s">
        <v>113</v>
      </c>
      <c r="D63" s="1">
        <v>62</v>
      </c>
      <c r="E63" s="8">
        <f>SUMIFS(hmov[CANTIDAD],hmov[IDPRODUCTO],prod[[#This Row],[IDPROD]],hmov[INOUT],1)-SUMIFS(hmov[CANTIDAD],hmov[IDPRODUCTO],prod[[#This Row],[IDPROD]],hmov[INOUT],0)</f>
        <v>0</v>
      </c>
    </row>
    <row r="64" spans="1:5" x14ac:dyDescent="0.25">
      <c r="A64" t="s">
        <v>117</v>
      </c>
      <c r="B64" t="s">
        <v>71</v>
      </c>
      <c r="C64" t="s">
        <v>113</v>
      </c>
      <c r="D64" s="1">
        <v>63</v>
      </c>
      <c r="E64" s="8">
        <f>SUMIFS(hmov[CANTIDAD],hmov[IDPRODUCTO],prod[[#This Row],[IDPROD]],hmov[INOUT],1)-SUMIFS(hmov[CANTIDAD],hmov[IDPRODUCTO],prod[[#This Row],[IDPROD]],hmov[INOUT],0)</f>
        <v>0</v>
      </c>
    </row>
    <row r="65" spans="1:5" x14ac:dyDescent="0.25">
      <c r="A65" t="s">
        <v>118</v>
      </c>
      <c r="B65" t="s">
        <v>71</v>
      </c>
      <c r="C65" t="s">
        <v>113</v>
      </c>
      <c r="D65" s="1">
        <v>64</v>
      </c>
      <c r="E65" s="8">
        <f>SUMIFS(hmov[CANTIDAD],hmov[IDPRODUCTO],prod[[#This Row],[IDPROD]],hmov[INOUT],1)-SUMIFS(hmov[CANTIDAD],hmov[IDPRODUCTO],prod[[#This Row],[IDPROD]],hmov[INOUT],0)</f>
        <v>0</v>
      </c>
    </row>
    <row r="66" spans="1:5" x14ac:dyDescent="0.25">
      <c r="A66" t="s">
        <v>119</v>
      </c>
      <c r="B66" t="s">
        <v>71</v>
      </c>
      <c r="C66" t="s">
        <v>113</v>
      </c>
      <c r="D66" s="1">
        <v>65</v>
      </c>
      <c r="E66" s="8">
        <f>SUMIFS(hmov[CANTIDAD],hmov[IDPRODUCTO],prod[[#This Row],[IDPROD]],hmov[INOUT],1)-SUMIFS(hmov[CANTIDAD],hmov[IDPRODUCTO],prod[[#This Row],[IDPROD]],hmov[INOUT],0)</f>
        <v>0</v>
      </c>
    </row>
    <row r="67" spans="1:5" x14ac:dyDescent="0.25">
      <c r="A67" t="s">
        <v>120</v>
      </c>
      <c r="B67" t="s">
        <v>71</v>
      </c>
      <c r="C67" t="s">
        <v>113</v>
      </c>
      <c r="D67" s="1">
        <v>66</v>
      </c>
      <c r="E67" s="8">
        <f>SUMIFS(hmov[CANTIDAD],hmov[IDPRODUCTO],prod[[#This Row],[IDPROD]],hmov[INOUT],1)-SUMIFS(hmov[CANTIDAD],hmov[IDPRODUCTO],prod[[#This Row],[IDPROD]],hmov[INOUT],0)</f>
        <v>0</v>
      </c>
    </row>
    <row r="68" spans="1:5" x14ac:dyDescent="0.25">
      <c r="A68" t="s">
        <v>94</v>
      </c>
      <c r="B68" t="s">
        <v>71</v>
      </c>
      <c r="C68" t="s">
        <v>121</v>
      </c>
      <c r="D68" s="1">
        <v>67</v>
      </c>
      <c r="E68" s="8">
        <f>SUMIFS(hmov[CANTIDAD],hmov[IDPRODUCTO],prod[[#This Row],[IDPROD]],hmov[INOUT],1)-SUMIFS(hmov[CANTIDAD],hmov[IDPRODUCTO],prod[[#This Row],[IDPROD]],hmov[INOUT],0)</f>
        <v>0</v>
      </c>
    </row>
    <row r="69" spans="1:5" x14ac:dyDescent="0.25">
      <c r="A69" t="s">
        <v>99</v>
      </c>
      <c r="B69" t="s">
        <v>71</v>
      </c>
      <c r="C69" t="s">
        <v>121</v>
      </c>
      <c r="D69" s="1">
        <v>68</v>
      </c>
      <c r="E69" s="8">
        <f>SUMIFS(hmov[CANTIDAD],hmov[IDPRODUCTO],prod[[#This Row],[IDPROD]],hmov[INOUT],1)-SUMIFS(hmov[CANTIDAD],hmov[IDPRODUCTO],prod[[#This Row],[IDPROD]],hmov[INOUT],0)</f>
        <v>0</v>
      </c>
    </row>
    <row r="70" spans="1:5" x14ac:dyDescent="0.25">
      <c r="A70" t="s">
        <v>122</v>
      </c>
      <c r="B70" t="s">
        <v>71</v>
      </c>
      <c r="C70" t="s">
        <v>121</v>
      </c>
      <c r="D70" s="1">
        <v>69</v>
      </c>
      <c r="E70" s="8">
        <f>SUMIFS(hmov[CANTIDAD],hmov[IDPRODUCTO],prod[[#This Row],[IDPROD]],hmov[INOUT],1)-SUMIFS(hmov[CANTIDAD],hmov[IDPRODUCTO],prod[[#This Row],[IDPROD]],hmov[INOUT],0)</f>
        <v>0</v>
      </c>
    </row>
    <row r="71" spans="1:5" x14ac:dyDescent="0.25">
      <c r="A71" t="s">
        <v>92</v>
      </c>
      <c r="B71" t="s">
        <v>71</v>
      </c>
      <c r="C71" t="s">
        <v>121</v>
      </c>
      <c r="D71" s="1">
        <v>70</v>
      </c>
      <c r="E71" s="8">
        <f>SUMIFS(hmov[CANTIDAD],hmov[IDPRODUCTO],prod[[#This Row],[IDPROD]],hmov[INOUT],1)-SUMIFS(hmov[CANTIDAD],hmov[IDPRODUCTO],prod[[#This Row],[IDPROD]],hmov[INOUT],0)</f>
        <v>0</v>
      </c>
    </row>
    <row r="72" spans="1:5" x14ac:dyDescent="0.25">
      <c r="A72" t="s">
        <v>100</v>
      </c>
      <c r="B72" t="s">
        <v>71</v>
      </c>
      <c r="C72" t="s">
        <v>121</v>
      </c>
      <c r="D72" s="1">
        <v>71</v>
      </c>
      <c r="E72" s="8">
        <f>SUMIFS(hmov[CANTIDAD],hmov[IDPRODUCTO],prod[[#This Row],[IDPROD]],hmov[INOUT],1)-SUMIFS(hmov[CANTIDAD],hmov[IDPRODUCTO],prod[[#This Row],[IDPROD]],hmov[INOUT],0)</f>
        <v>0</v>
      </c>
    </row>
    <row r="73" spans="1:5" x14ac:dyDescent="0.25">
      <c r="A73" t="s">
        <v>101</v>
      </c>
      <c r="B73" t="s">
        <v>71</v>
      </c>
      <c r="C73" t="s">
        <v>121</v>
      </c>
      <c r="D73" s="1">
        <v>72</v>
      </c>
      <c r="E73" s="8">
        <f>SUMIFS(hmov[CANTIDAD],hmov[IDPRODUCTO],prod[[#This Row],[IDPROD]],hmov[INOUT],1)-SUMIFS(hmov[CANTIDAD],hmov[IDPRODUCTO],prod[[#This Row],[IDPROD]],hmov[INOUT],0)</f>
        <v>0</v>
      </c>
    </row>
    <row r="74" spans="1:5" x14ac:dyDescent="0.25">
      <c r="A74" t="s">
        <v>108</v>
      </c>
      <c r="B74" t="s">
        <v>71</v>
      </c>
      <c r="C74" t="s">
        <v>121</v>
      </c>
      <c r="D74" s="1">
        <v>73</v>
      </c>
      <c r="E74" s="8">
        <f>SUMIFS(hmov[CANTIDAD],hmov[IDPRODUCTO],prod[[#This Row],[IDPROD]],hmov[INOUT],1)-SUMIFS(hmov[CANTIDAD],hmov[IDPRODUCTO],prod[[#This Row],[IDPROD]],hmov[INOUT],0)</f>
        <v>0</v>
      </c>
    </row>
    <row r="75" spans="1:5" x14ac:dyDescent="0.25">
      <c r="A75" t="s">
        <v>123</v>
      </c>
      <c r="B75" t="s">
        <v>71</v>
      </c>
      <c r="C75" t="s">
        <v>121</v>
      </c>
      <c r="D75" s="1">
        <v>74</v>
      </c>
      <c r="E75" s="8">
        <f>SUMIFS(hmov[CANTIDAD],hmov[IDPRODUCTO],prod[[#This Row],[IDPROD]],hmov[INOUT],1)-SUMIFS(hmov[CANTIDAD],hmov[IDPRODUCTO],prod[[#This Row],[IDPROD]],hmov[INOUT],0)</f>
        <v>0</v>
      </c>
    </row>
    <row r="76" spans="1:5" x14ac:dyDescent="0.25">
      <c r="A76" t="s">
        <v>124</v>
      </c>
      <c r="B76" t="s">
        <v>71</v>
      </c>
      <c r="C76" t="s">
        <v>121</v>
      </c>
      <c r="D76" s="1">
        <v>75</v>
      </c>
      <c r="E76" s="8">
        <f>SUMIFS(hmov[CANTIDAD],hmov[IDPRODUCTO],prod[[#This Row],[IDPROD]],hmov[INOUT],1)-SUMIFS(hmov[CANTIDAD],hmov[IDPRODUCTO],prod[[#This Row],[IDPROD]],hmov[INOUT],0)</f>
        <v>0</v>
      </c>
    </row>
    <row r="77" spans="1:5" x14ac:dyDescent="0.25">
      <c r="A77" t="s">
        <v>125</v>
      </c>
      <c r="B77" t="s">
        <v>71</v>
      </c>
      <c r="C77" t="s">
        <v>121</v>
      </c>
      <c r="D77" s="1">
        <v>76</v>
      </c>
      <c r="E77" s="8">
        <f>SUMIFS(hmov[CANTIDAD],hmov[IDPRODUCTO],prod[[#This Row],[IDPROD]],hmov[INOUT],1)-SUMIFS(hmov[CANTIDAD],hmov[IDPRODUCTO],prod[[#This Row],[IDPROD]],hmov[INOUT],0)</f>
        <v>0</v>
      </c>
    </row>
    <row r="78" spans="1:5" x14ac:dyDescent="0.25">
      <c r="A78" t="s">
        <v>109</v>
      </c>
      <c r="B78" t="s">
        <v>71</v>
      </c>
      <c r="C78" t="s">
        <v>121</v>
      </c>
      <c r="D78" s="1">
        <v>77</v>
      </c>
      <c r="E78" s="8">
        <f>SUMIFS(hmov[CANTIDAD],hmov[IDPRODUCTO],prod[[#This Row],[IDPROD]],hmov[INOUT],1)-SUMIFS(hmov[CANTIDAD],hmov[IDPRODUCTO],prod[[#This Row],[IDPROD]],hmov[INOUT],0)</f>
        <v>0</v>
      </c>
    </row>
    <row r="79" spans="1:5" x14ac:dyDescent="0.25">
      <c r="A79" t="s">
        <v>87</v>
      </c>
      <c r="B79" t="s">
        <v>71</v>
      </c>
      <c r="C79" t="s">
        <v>121</v>
      </c>
      <c r="D79" s="1">
        <v>78</v>
      </c>
      <c r="E79" s="8">
        <f>SUMIFS(hmov[CANTIDAD],hmov[IDPRODUCTO],prod[[#This Row],[IDPROD]],hmov[INOUT],1)-SUMIFS(hmov[CANTIDAD],hmov[IDPRODUCTO],prod[[#This Row],[IDPROD]],hmov[INOUT],0)</f>
        <v>0</v>
      </c>
    </row>
    <row r="80" spans="1:5" x14ac:dyDescent="0.25">
      <c r="A80" t="s">
        <v>126</v>
      </c>
      <c r="B80" t="s">
        <v>71</v>
      </c>
      <c r="C80" t="s">
        <v>121</v>
      </c>
      <c r="D80" s="1">
        <v>79</v>
      </c>
      <c r="E80" s="8">
        <f>SUMIFS(hmov[CANTIDAD],hmov[IDPRODUCTO],prod[[#This Row],[IDPROD]],hmov[INOUT],1)-SUMIFS(hmov[CANTIDAD],hmov[IDPRODUCTO],prod[[#This Row],[IDPROD]],hmov[INOUT],0)</f>
        <v>0</v>
      </c>
    </row>
    <row r="81" spans="1:5" x14ac:dyDescent="0.25">
      <c r="A81" t="s">
        <v>102</v>
      </c>
      <c r="B81" t="s">
        <v>71</v>
      </c>
      <c r="C81" t="s">
        <v>121</v>
      </c>
      <c r="D81" s="1">
        <v>80</v>
      </c>
      <c r="E81" s="8">
        <f>SUMIFS(hmov[CANTIDAD],hmov[IDPRODUCTO],prod[[#This Row],[IDPROD]],hmov[INOUT],1)-SUMIFS(hmov[CANTIDAD],hmov[IDPRODUCTO],prod[[#This Row],[IDPROD]],hmov[INOUT],0)</f>
        <v>0</v>
      </c>
    </row>
    <row r="82" spans="1:5" x14ac:dyDescent="0.25">
      <c r="A82" t="s">
        <v>103</v>
      </c>
      <c r="B82" t="s">
        <v>71</v>
      </c>
      <c r="C82" t="s">
        <v>121</v>
      </c>
      <c r="D82" s="1">
        <v>81</v>
      </c>
      <c r="E82" s="8">
        <f>SUMIFS(hmov[CANTIDAD],hmov[IDPRODUCTO],prod[[#This Row],[IDPROD]],hmov[INOUT],1)-SUMIFS(hmov[CANTIDAD],hmov[IDPRODUCTO],prod[[#This Row],[IDPROD]],hmov[INOUT],0)</f>
        <v>0</v>
      </c>
    </row>
    <row r="83" spans="1:5" x14ac:dyDescent="0.25">
      <c r="A83" t="s">
        <v>127</v>
      </c>
      <c r="B83" t="s">
        <v>71</v>
      </c>
      <c r="C83" t="s">
        <v>121</v>
      </c>
      <c r="D83" s="1">
        <v>82</v>
      </c>
      <c r="E83" s="8">
        <f>SUMIFS(hmov[CANTIDAD],hmov[IDPRODUCTO],prod[[#This Row],[IDPROD]],hmov[INOUT],1)-SUMIFS(hmov[CANTIDAD],hmov[IDPRODUCTO],prod[[#This Row],[IDPROD]],hmov[INOUT],0)</f>
        <v>0</v>
      </c>
    </row>
    <row r="84" spans="1:5" x14ac:dyDescent="0.25">
      <c r="A84" t="s">
        <v>89</v>
      </c>
      <c r="B84" t="s">
        <v>71</v>
      </c>
      <c r="C84" t="s">
        <v>121</v>
      </c>
      <c r="D84" s="1">
        <v>83</v>
      </c>
      <c r="E84" s="8">
        <f>SUMIFS(hmov[CANTIDAD],hmov[IDPRODUCTO],prod[[#This Row],[IDPROD]],hmov[INOUT],1)-SUMIFS(hmov[CANTIDAD],hmov[IDPRODUCTO],prod[[#This Row],[IDPROD]],hmov[INOUT],0)</f>
        <v>0</v>
      </c>
    </row>
    <row r="85" spans="1:5" x14ac:dyDescent="0.25">
      <c r="A85" t="s">
        <v>128</v>
      </c>
      <c r="B85" t="s">
        <v>71</v>
      </c>
      <c r="C85" t="s">
        <v>121</v>
      </c>
      <c r="D85" s="1">
        <v>84</v>
      </c>
      <c r="E85" s="8">
        <f>SUMIFS(hmov[CANTIDAD],hmov[IDPRODUCTO],prod[[#This Row],[IDPROD]],hmov[INOUT],1)-SUMIFS(hmov[CANTIDAD],hmov[IDPRODUCTO],prod[[#This Row],[IDPROD]],hmov[INOUT],0)</f>
        <v>0</v>
      </c>
    </row>
    <row r="86" spans="1:5" x14ac:dyDescent="0.25">
      <c r="A86" t="s">
        <v>129</v>
      </c>
      <c r="B86" t="s">
        <v>71</v>
      </c>
      <c r="C86" t="s">
        <v>121</v>
      </c>
      <c r="D86" s="1">
        <v>85</v>
      </c>
      <c r="E86" s="8">
        <f>SUMIFS(hmov[CANTIDAD],hmov[IDPRODUCTO],prod[[#This Row],[IDPROD]],hmov[INOUT],1)-SUMIFS(hmov[CANTIDAD],hmov[IDPRODUCTO],prod[[#This Row],[IDPROD]],hmov[INOUT],0)</f>
        <v>0</v>
      </c>
    </row>
    <row r="87" spans="1:5" x14ac:dyDescent="0.25">
      <c r="A87" t="s">
        <v>97</v>
      </c>
      <c r="B87" t="s">
        <v>71</v>
      </c>
      <c r="C87" t="s">
        <v>121</v>
      </c>
      <c r="D87" s="1">
        <v>86</v>
      </c>
      <c r="E87" s="8">
        <f>SUMIFS(hmov[CANTIDAD],hmov[IDPRODUCTO],prod[[#This Row],[IDPROD]],hmov[INOUT],1)-SUMIFS(hmov[CANTIDAD],hmov[IDPRODUCTO],prod[[#This Row],[IDPROD]],hmov[INOUT],0)</f>
        <v>0</v>
      </c>
    </row>
    <row r="88" spans="1:5" x14ac:dyDescent="0.25">
      <c r="A88" t="s">
        <v>96</v>
      </c>
      <c r="B88" t="s">
        <v>71</v>
      </c>
      <c r="C88" t="s">
        <v>121</v>
      </c>
      <c r="D88" s="1">
        <v>87</v>
      </c>
      <c r="E88" s="8">
        <f>SUMIFS(hmov[CANTIDAD],hmov[IDPRODUCTO],prod[[#This Row],[IDPROD]],hmov[INOUT],1)-SUMIFS(hmov[CANTIDAD],hmov[IDPRODUCTO],prod[[#This Row],[IDPROD]],hmov[INOUT],0)</f>
        <v>0</v>
      </c>
    </row>
    <row r="89" spans="1:5" x14ac:dyDescent="0.25">
      <c r="A89" t="s">
        <v>130</v>
      </c>
      <c r="B89" t="s">
        <v>44</v>
      </c>
      <c r="C89" t="s">
        <v>45</v>
      </c>
      <c r="D89" s="1">
        <v>88</v>
      </c>
      <c r="E89" s="8">
        <f>SUMIFS(hmov[CANTIDAD],hmov[IDPRODUCTO],prod[[#This Row],[IDPROD]],hmov[INOUT],1)-SUMIFS(hmov[CANTIDAD],hmov[IDPRODUCTO],prod[[#This Row],[IDPROD]],hmov[INOUT],0)</f>
        <v>0</v>
      </c>
    </row>
    <row r="90" spans="1:5" x14ac:dyDescent="0.25">
      <c r="A90" t="s">
        <v>131</v>
      </c>
      <c r="B90" t="s">
        <v>44</v>
      </c>
      <c r="C90" t="s">
        <v>45</v>
      </c>
      <c r="D90" s="1">
        <v>89</v>
      </c>
      <c r="E90" s="8">
        <f>SUMIFS(hmov[CANTIDAD],hmov[IDPRODUCTO],prod[[#This Row],[IDPROD]],hmov[INOUT],1)-SUMIFS(hmov[CANTIDAD],hmov[IDPRODUCTO],prod[[#This Row],[IDPROD]],hmov[INOUT],0)</f>
        <v>0</v>
      </c>
    </row>
    <row r="91" spans="1:5" x14ac:dyDescent="0.25">
      <c r="A91" t="s">
        <v>132</v>
      </c>
      <c r="B91" t="s">
        <v>44</v>
      </c>
      <c r="C91" t="s">
        <v>45</v>
      </c>
      <c r="D91" s="1">
        <v>90</v>
      </c>
      <c r="E91" s="8">
        <f>SUMIFS(hmov[CANTIDAD],hmov[IDPRODUCTO],prod[[#This Row],[IDPROD]],hmov[INOUT],1)-SUMIFS(hmov[CANTIDAD],hmov[IDPRODUCTO],prod[[#This Row],[IDPROD]],hmov[INOUT],0)</f>
        <v>0</v>
      </c>
    </row>
    <row r="92" spans="1:5" x14ac:dyDescent="0.25">
      <c r="A92" t="s">
        <v>133</v>
      </c>
      <c r="B92" t="s">
        <v>52</v>
      </c>
      <c r="C92" t="s">
        <v>134</v>
      </c>
      <c r="D92" s="1">
        <v>91</v>
      </c>
      <c r="E92" s="8">
        <f>SUMIFS(hmov[CANTIDAD],hmov[IDPRODUCTO],prod[[#This Row],[IDPROD]],hmov[INOUT],1)-SUMIFS(hmov[CANTIDAD],hmov[IDPRODUCTO],prod[[#This Row],[IDPROD]],hmov[INOUT],0)</f>
        <v>0</v>
      </c>
    </row>
    <row r="93" spans="1:5" x14ac:dyDescent="0.25">
      <c r="A93" t="s">
        <v>135</v>
      </c>
      <c r="B93" t="s">
        <v>52</v>
      </c>
      <c r="C93" t="s">
        <v>134</v>
      </c>
      <c r="D93" s="1">
        <v>92</v>
      </c>
      <c r="E93" s="8">
        <f>SUMIFS(hmov[CANTIDAD],hmov[IDPRODUCTO],prod[[#This Row],[IDPROD]],hmov[INOUT],1)-SUMIFS(hmov[CANTIDAD],hmov[IDPRODUCTO],prod[[#This Row],[IDPROD]],hmov[INOUT],0)</f>
        <v>0</v>
      </c>
    </row>
    <row r="94" spans="1:5" x14ac:dyDescent="0.25">
      <c r="A94" t="s">
        <v>136</v>
      </c>
      <c r="B94" t="s">
        <v>52</v>
      </c>
      <c r="C94" t="s">
        <v>134</v>
      </c>
      <c r="D94" s="1">
        <v>93</v>
      </c>
      <c r="E94" s="8">
        <f>SUMIFS(hmov[CANTIDAD],hmov[IDPRODUCTO],prod[[#This Row],[IDPROD]],hmov[INOUT],1)-SUMIFS(hmov[CANTIDAD],hmov[IDPRODUCTO],prod[[#This Row],[IDPROD]],hmov[INOUT],0)</f>
        <v>0</v>
      </c>
    </row>
    <row r="95" spans="1:5" x14ac:dyDescent="0.25">
      <c r="A95" t="s">
        <v>137</v>
      </c>
      <c r="B95" t="s">
        <v>52</v>
      </c>
      <c r="C95" t="s">
        <v>134</v>
      </c>
      <c r="D95" s="1">
        <v>94</v>
      </c>
      <c r="E95" s="8">
        <f>SUMIFS(hmov[CANTIDAD],hmov[IDPRODUCTO],prod[[#This Row],[IDPROD]],hmov[INOUT],1)-SUMIFS(hmov[CANTIDAD],hmov[IDPRODUCTO],prod[[#This Row],[IDPROD]],hmov[INOUT],0)</f>
        <v>0</v>
      </c>
    </row>
    <row r="96" spans="1:5" x14ac:dyDescent="0.25">
      <c r="A96" t="s">
        <v>138</v>
      </c>
      <c r="B96" t="s">
        <v>139</v>
      </c>
      <c r="C96" t="s">
        <v>134</v>
      </c>
      <c r="D96" s="1">
        <v>95</v>
      </c>
      <c r="E96" s="8">
        <f>SUMIFS(hmov[CANTIDAD],hmov[IDPRODUCTO],prod[[#This Row],[IDPROD]],hmov[INOUT],1)-SUMIFS(hmov[CANTIDAD],hmov[IDPRODUCTO],prod[[#This Row],[IDPROD]],hmov[INOUT],0)</f>
        <v>0</v>
      </c>
    </row>
    <row r="97" spans="1:5" x14ac:dyDescent="0.25">
      <c r="A97" t="s">
        <v>140</v>
      </c>
      <c r="B97" t="s">
        <v>52</v>
      </c>
      <c r="C97" t="s">
        <v>134</v>
      </c>
      <c r="D97" s="1">
        <v>96</v>
      </c>
      <c r="E97" s="8">
        <f>SUMIFS(hmov[CANTIDAD],hmov[IDPRODUCTO],prod[[#This Row],[IDPROD]],hmov[INOUT],1)-SUMIFS(hmov[CANTIDAD],hmov[IDPRODUCTO],prod[[#This Row],[IDPROD]],hmov[INOUT],0)</f>
        <v>0</v>
      </c>
    </row>
    <row r="98" spans="1:5" x14ac:dyDescent="0.25">
      <c r="A98" t="s">
        <v>112</v>
      </c>
      <c r="B98" t="s">
        <v>52</v>
      </c>
      <c r="C98" t="s">
        <v>134</v>
      </c>
      <c r="D98" s="1">
        <v>97</v>
      </c>
      <c r="E98" s="8">
        <f>SUMIFS(hmov[CANTIDAD],hmov[IDPRODUCTO],prod[[#This Row],[IDPROD]],hmov[INOUT],1)-SUMIFS(hmov[CANTIDAD],hmov[IDPRODUCTO],prod[[#This Row],[IDPROD]],hmov[INOUT],0)</f>
        <v>0</v>
      </c>
    </row>
    <row r="99" spans="1:5" x14ac:dyDescent="0.25">
      <c r="A99" t="s">
        <v>141</v>
      </c>
      <c r="B99" t="s">
        <v>52</v>
      </c>
      <c r="C99" t="s">
        <v>134</v>
      </c>
      <c r="D99" s="1">
        <v>98</v>
      </c>
      <c r="E99" s="8">
        <f>SUMIFS(hmov[CANTIDAD],hmov[IDPRODUCTO],prod[[#This Row],[IDPROD]],hmov[INOUT],1)-SUMIFS(hmov[CANTIDAD],hmov[IDPRODUCTO],prod[[#This Row],[IDPROD]],hmov[INOUT],0)</f>
        <v>0</v>
      </c>
    </row>
    <row r="100" spans="1:5" x14ac:dyDescent="0.25">
      <c r="A100" t="s">
        <v>142</v>
      </c>
      <c r="B100" t="s">
        <v>52</v>
      </c>
      <c r="C100" t="s">
        <v>134</v>
      </c>
      <c r="D100" s="1">
        <v>99</v>
      </c>
      <c r="E100" s="8">
        <f>SUMIFS(hmov[CANTIDAD],hmov[IDPRODUCTO],prod[[#This Row],[IDPROD]],hmov[INOUT],1)-SUMIFS(hmov[CANTIDAD],hmov[IDPRODUCTO],prod[[#This Row],[IDPROD]],hmov[INOUT],0)</f>
        <v>0</v>
      </c>
    </row>
    <row r="101" spans="1:5" x14ac:dyDescent="0.25">
      <c r="A101" t="s">
        <v>143</v>
      </c>
      <c r="B101" t="s">
        <v>52</v>
      </c>
      <c r="C101" t="s">
        <v>134</v>
      </c>
      <c r="D101" s="1">
        <v>100</v>
      </c>
      <c r="E101" s="8">
        <f>SUMIFS(hmov[CANTIDAD],hmov[IDPRODUCTO],prod[[#This Row],[IDPROD]],hmov[INOUT],1)-SUMIFS(hmov[CANTIDAD],hmov[IDPRODUCTO],prod[[#This Row],[IDPROD]],hmov[INOUT],0)</f>
        <v>0</v>
      </c>
    </row>
    <row r="102" spans="1:5" x14ac:dyDescent="0.25">
      <c r="A102" t="s">
        <v>144</v>
      </c>
      <c r="B102" t="s">
        <v>52</v>
      </c>
      <c r="C102" t="s">
        <v>134</v>
      </c>
      <c r="D102" s="1">
        <v>101</v>
      </c>
      <c r="E102" s="8">
        <f>SUMIFS(hmov[CANTIDAD],hmov[IDPRODUCTO],prod[[#This Row],[IDPROD]],hmov[INOUT],1)-SUMIFS(hmov[CANTIDAD],hmov[IDPRODUCTO],prod[[#This Row],[IDPROD]],hmov[INOUT],0)</f>
        <v>0</v>
      </c>
    </row>
    <row r="103" spans="1:5" x14ac:dyDescent="0.25">
      <c r="A103" t="s">
        <v>145</v>
      </c>
      <c r="B103" t="s">
        <v>52</v>
      </c>
      <c r="C103" t="s">
        <v>134</v>
      </c>
      <c r="D103" s="1">
        <v>102</v>
      </c>
      <c r="E103" s="8">
        <f>SUMIFS(hmov[CANTIDAD],hmov[IDPRODUCTO],prod[[#This Row],[IDPROD]],hmov[INOUT],1)-SUMIFS(hmov[CANTIDAD],hmov[IDPRODUCTO],prod[[#This Row],[IDPROD]],hmov[INOUT],0)</f>
        <v>0</v>
      </c>
    </row>
    <row r="104" spans="1:5" x14ac:dyDescent="0.25">
      <c r="A104" t="s">
        <v>146</v>
      </c>
      <c r="B104" t="s">
        <v>52</v>
      </c>
      <c r="C104" t="s">
        <v>134</v>
      </c>
      <c r="D104" s="1">
        <v>103</v>
      </c>
      <c r="E104" s="8">
        <f>SUMIFS(hmov[CANTIDAD],hmov[IDPRODUCTO],prod[[#This Row],[IDPROD]],hmov[INOUT],1)-SUMIFS(hmov[CANTIDAD],hmov[IDPRODUCTO],prod[[#This Row],[IDPROD]],hmov[INOUT],0)</f>
        <v>0</v>
      </c>
    </row>
    <row r="105" spans="1:5" x14ac:dyDescent="0.25">
      <c r="A105" t="s">
        <v>147</v>
      </c>
      <c r="B105" t="s">
        <v>52</v>
      </c>
      <c r="C105" t="s">
        <v>134</v>
      </c>
      <c r="D105" s="1">
        <v>104</v>
      </c>
      <c r="E105" s="8">
        <f>SUMIFS(hmov[CANTIDAD],hmov[IDPRODUCTO],prod[[#This Row],[IDPROD]],hmov[INOUT],1)-SUMIFS(hmov[CANTIDAD],hmov[IDPRODUCTO],prod[[#This Row],[IDPROD]],hmov[INOUT],0)</f>
        <v>0</v>
      </c>
    </row>
    <row r="106" spans="1:5" x14ac:dyDescent="0.25">
      <c r="A106" t="s">
        <v>148</v>
      </c>
      <c r="B106" t="s">
        <v>52</v>
      </c>
      <c r="C106" t="s">
        <v>134</v>
      </c>
      <c r="D106" s="1">
        <v>105</v>
      </c>
      <c r="E106" s="8">
        <f>SUMIFS(hmov[CANTIDAD],hmov[IDPRODUCTO],prod[[#This Row],[IDPROD]],hmov[INOUT],1)-SUMIFS(hmov[CANTIDAD],hmov[IDPRODUCTO],prod[[#This Row],[IDPROD]],hmov[INOUT],0)</f>
        <v>0</v>
      </c>
    </row>
  </sheetData>
  <dataValidations count="1">
    <dataValidation type="list" allowBlank="1" showInputMessage="1" showErrorMessage="1" sqref="C2:C106" xr:uid="{F29B0EAA-4854-48DC-8608-23FF0F444CB7}">
      <formula1>"IMMULITE,FUJI,COMPUTO,PAPELERIA,QUIRURJICO,SYSMEX BH,SPINREACT,ACT 5 DIFF,MINDRAY BC3200,PIPETAS,ECLIPSE APEXBIO,NIHON KOHDEN,LIMPIEZA,MICROBIOLOGIA,GARRAFONES,SUPLEMENTOS,PRUEBAS RAPIDAS,JERINGAS,TUBOS,GETEIN 1100"</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F232D-C5F2-4D8A-85F0-0CE01EDDF91E}">
  <sheetPr codeName="prov">
    <tabColor theme="6" tint="0.39997558519241921"/>
  </sheetPr>
  <dimension ref="A1:B10"/>
  <sheetViews>
    <sheetView workbookViewId="0">
      <selection activeCell="B1" sqref="B1"/>
    </sheetView>
  </sheetViews>
  <sheetFormatPr baseColWidth="10" defaultRowHeight="15" x14ac:dyDescent="0.25"/>
  <cols>
    <col min="1" max="2" width="15.7109375" customWidth="1"/>
  </cols>
  <sheetData>
    <row r="1" spans="1:2" x14ac:dyDescent="0.25">
      <c r="A1" t="s">
        <v>6</v>
      </c>
      <c r="B1" t="s">
        <v>18</v>
      </c>
    </row>
    <row r="2" spans="1:2" x14ac:dyDescent="0.25">
      <c r="A2" t="s">
        <v>88</v>
      </c>
      <c r="B2" s="1">
        <v>1</v>
      </c>
    </row>
    <row r="3" spans="1:2" x14ac:dyDescent="0.25">
      <c r="A3" t="s">
        <v>149</v>
      </c>
      <c r="B3" s="1">
        <v>2</v>
      </c>
    </row>
    <row r="4" spans="1:2" x14ac:dyDescent="0.25">
      <c r="A4" t="s">
        <v>150</v>
      </c>
      <c r="B4" s="1">
        <v>3</v>
      </c>
    </row>
    <row r="5" spans="1:2" x14ac:dyDescent="0.25">
      <c r="A5" t="s">
        <v>151</v>
      </c>
      <c r="B5" s="1">
        <v>4</v>
      </c>
    </row>
    <row r="6" spans="1:2" x14ac:dyDescent="0.25">
      <c r="A6" t="s">
        <v>152</v>
      </c>
      <c r="B6" s="1">
        <v>5</v>
      </c>
    </row>
    <row r="7" spans="1:2" x14ac:dyDescent="0.25">
      <c r="A7" t="s">
        <v>153</v>
      </c>
      <c r="B7" s="1">
        <v>6</v>
      </c>
    </row>
    <row r="8" spans="1:2" x14ac:dyDescent="0.25">
      <c r="A8" t="s">
        <v>154</v>
      </c>
      <c r="B8" s="1">
        <v>7</v>
      </c>
    </row>
    <row r="9" spans="1:2" x14ac:dyDescent="0.25">
      <c r="A9" t="s">
        <v>155</v>
      </c>
      <c r="B9" s="1">
        <v>8</v>
      </c>
    </row>
    <row r="10" spans="1:2" x14ac:dyDescent="0.25">
      <c r="A10" t="s">
        <v>156</v>
      </c>
      <c r="B10" s="1">
        <v>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4D817-B563-4DE8-B4B9-19853C387178}">
  <sheetPr codeName="suc">
    <tabColor theme="6" tint="0.39997558519241921"/>
  </sheetPr>
  <dimension ref="A1:B8"/>
  <sheetViews>
    <sheetView workbookViewId="0">
      <selection activeCell="A9" sqref="A9"/>
    </sheetView>
  </sheetViews>
  <sheetFormatPr baseColWidth="10" defaultRowHeight="15" x14ac:dyDescent="0.25"/>
  <cols>
    <col min="1" max="2" width="15.7109375" customWidth="1"/>
  </cols>
  <sheetData>
    <row r="1" spans="1:2" x14ac:dyDescent="0.25">
      <c r="A1" t="s">
        <v>5</v>
      </c>
      <c r="B1" t="s">
        <v>19</v>
      </c>
    </row>
    <row r="2" spans="1:2" x14ac:dyDescent="0.25">
      <c r="A2" t="s">
        <v>157</v>
      </c>
      <c r="B2" s="1">
        <v>1</v>
      </c>
    </row>
    <row r="3" spans="1:2" x14ac:dyDescent="0.25">
      <c r="A3" t="s">
        <v>158</v>
      </c>
      <c r="B3" s="1">
        <v>2</v>
      </c>
    </row>
    <row r="4" spans="1:2" x14ac:dyDescent="0.25">
      <c r="A4" t="s">
        <v>159</v>
      </c>
      <c r="B4" s="1">
        <v>3</v>
      </c>
    </row>
    <row r="5" spans="1:2" x14ac:dyDescent="0.25">
      <c r="A5" t="s">
        <v>160</v>
      </c>
      <c r="B5" s="1">
        <v>4</v>
      </c>
    </row>
    <row r="6" spans="1:2" x14ac:dyDescent="0.25">
      <c r="A6" t="s">
        <v>161</v>
      </c>
      <c r="B6" s="1">
        <v>5</v>
      </c>
    </row>
    <row r="7" spans="1:2" x14ac:dyDescent="0.25">
      <c r="A7" t="s">
        <v>162</v>
      </c>
      <c r="B7" s="1">
        <v>6</v>
      </c>
    </row>
    <row r="8" spans="1:2" x14ac:dyDescent="0.25">
      <c r="A8" t="s">
        <v>163</v>
      </c>
      <c r="B8" s="1">
        <v>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AF825-3910-4336-A200-F482D48AF2AA}">
  <sheetPr codeName="ar">
    <tabColor theme="6" tint="0.39997558519241921"/>
  </sheetPr>
  <dimension ref="A1:B21"/>
  <sheetViews>
    <sheetView workbookViewId="0">
      <selection activeCell="A22" sqref="A22"/>
    </sheetView>
  </sheetViews>
  <sheetFormatPr baseColWidth="10" defaultRowHeight="15" x14ac:dyDescent="0.25"/>
  <cols>
    <col min="1" max="2" width="15.7109375" customWidth="1"/>
  </cols>
  <sheetData>
    <row r="1" spans="1:2" x14ac:dyDescent="0.25">
      <c r="A1" t="s">
        <v>15</v>
      </c>
      <c r="B1" t="s">
        <v>20</v>
      </c>
    </row>
    <row r="2" spans="1:2" x14ac:dyDescent="0.25">
      <c r="A2" t="s">
        <v>113</v>
      </c>
      <c r="B2" s="1">
        <v>1</v>
      </c>
    </row>
    <row r="3" spans="1:2" x14ac:dyDescent="0.25">
      <c r="A3" t="s">
        <v>121</v>
      </c>
      <c r="B3" s="1">
        <v>2</v>
      </c>
    </row>
    <row r="4" spans="1:2" x14ac:dyDescent="0.25">
      <c r="A4" t="s">
        <v>164</v>
      </c>
      <c r="B4" s="1">
        <v>3</v>
      </c>
    </row>
    <row r="5" spans="1:2" x14ac:dyDescent="0.25">
      <c r="A5" t="s">
        <v>57</v>
      </c>
      <c r="B5" s="1">
        <v>4</v>
      </c>
    </row>
    <row r="6" spans="1:2" x14ac:dyDescent="0.25">
      <c r="A6" t="s">
        <v>165</v>
      </c>
      <c r="B6" s="1">
        <v>5</v>
      </c>
    </row>
    <row r="7" spans="1:2" x14ac:dyDescent="0.25">
      <c r="A7" t="s">
        <v>166</v>
      </c>
      <c r="B7" s="1">
        <v>6</v>
      </c>
    </row>
    <row r="8" spans="1:2" x14ac:dyDescent="0.25">
      <c r="A8" t="s">
        <v>88</v>
      </c>
      <c r="B8" s="1">
        <v>7</v>
      </c>
    </row>
    <row r="9" spans="1:2" x14ac:dyDescent="0.25">
      <c r="A9" t="s">
        <v>167</v>
      </c>
      <c r="B9" s="1">
        <v>8</v>
      </c>
    </row>
    <row r="10" spans="1:2" x14ac:dyDescent="0.25">
      <c r="A10" t="s">
        <v>168</v>
      </c>
      <c r="B10" s="1">
        <v>9</v>
      </c>
    </row>
    <row r="11" spans="1:2" x14ac:dyDescent="0.25">
      <c r="A11" t="s">
        <v>169</v>
      </c>
      <c r="B11" s="1">
        <v>10</v>
      </c>
    </row>
    <row r="12" spans="1:2" x14ac:dyDescent="0.25">
      <c r="A12" t="s">
        <v>170</v>
      </c>
      <c r="B12" s="1">
        <v>11</v>
      </c>
    </row>
    <row r="13" spans="1:2" x14ac:dyDescent="0.25">
      <c r="A13" t="s">
        <v>171</v>
      </c>
      <c r="B13" s="1">
        <v>12</v>
      </c>
    </row>
    <row r="14" spans="1:2" x14ac:dyDescent="0.25">
      <c r="A14" t="s">
        <v>172</v>
      </c>
      <c r="B14" s="1">
        <v>13</v>
      </c>
    </row>
    <row r="15" spans="1:2" x14ac:dyDescent="0.25">
      <c r="A15" t="s">
        <v>45</v>
      </c>
      <c r="B15" s="1">
        <v>14</v>
      </c>
    </row>
    <row r="16" spans="1:2" x14ac:dyDescent="0.25">
      <c r="A16" t="s">
        <v>173</v>
      </c>
      <c r="B16" s="1">
        <v>15</v>
      </c>
    </row>
    <row r="17" spans="1:2" x14ac:dyDescent="0.25">
      <c r="A17" t="s">
        <v>53</v>
      </c>
      <c r="B17" s="1">
        <v>16</v>
      </c>
    </row>
    <row r="18" spans="1:2" x14ac:dyDescent="0.25">
      <c r="A18" t="s">
        <v>134</v>
      </c>
      <c r="B18" s="1">
        <v>17</v>
      </c>
    </row>
    <row r="19" spans="1:2" x14ac:dyDescent="0.25">
      <c r="A19" t="s">
        <v>72</v>
      </c>
      <c r="B19" s="1">
        <v>18</v>
      </c>
    </row>
    <row r="20" spans="1:2" x14ac:dyDescent="0.25">
      <c r="A20" t="s">
        <v>47</v>
      </c>
      <c r="B20" s="1">
        <v>19</v>
      </c>
    </row>
    <row r="21" spans="1:2" x14ac:dyDescent="0.25">
      <c r="A21" t="s">
        <v>174</v>
      </c>
      <c r="B21" s="1">
        <v>20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D6268-6784-4482-928A-A6AAFC07F15F}">
  <sheetPr codeName="tipmov">
    <tabColor theme="6" tint="0.39997558519241921"/>
  </sheetPr>
  <dimension ref="A1:C4"/>
  <sheetViews>
    <sheetView workbookViewId="0">
      <selection activeCell="A6" sqref="A6"/>
    </sheetView>
  </sheetViews>
  <sheetFormatPr baseColWidth="10" defaultRowHeight="15" x14ac:dyDescent="0.25"/>
  <cols>
    <col min="1" max="3" width="15.7109375" customWidth="1"/>
  </cols>
  <sheetData>
    <row r="1" spans="1:3" x14ac:dyDescent="0.25">
      <c r="A1" t="s">
        <v>21</v>
      </c>
      <c r="B1" t="s">
        <v>8</v>
      </c>
      <c r="C1" t="s">
        <v>22</v>
      </c>
    </row>
    <row r="2" spans="1:3" x14ac:dyDescent="0.25">
      <c r="A2" t="s">
        <v>0</v>
      </c>
      <c r="B2">
        <v>1</v>
      </c>
      <c r="C2" s="1">
        <v>1</v>
      </c>
    </row>
    <row r="3" spans="1:3" x14ac:dyDescent="0.25">
      <c r="A3" t="s">
        <v>1</v>
      </c>
      <c r="B3">
        <v>0</v>
      </c>
      <c r="C3" s="1">
        <v>2</v>
      </c>
    </row>
    <row r="4" spans="1:3" x14ac:dyDescent="0.25">
      <c r="A4" t="s">
        <v>2</v>
      </c>
      <c r="B4">
        <v>0</v>
      </c>
      <c r="C4" s="1">
        <v>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58BCA-2D7B-4A1A-A5CD-579641745E2B}">
  <sheetPr codeName="hmov">
    <tabColor theme="5" tint="0.79998168889431442"/>
  </sheetPr>
  <dimension ref="A1:M16"/>
  <sheetViews>
    <sheetView topLeftCell="F1" workbookViewId="0">
      <selection activeCell="H18" sqref="H18"/>
    </sheetView>
  </sheetViews>
  <sheetFormatPr baseColWidth="10" defaultRowHeight="15" x14ac:dyDescent="0.25"/>
  <cols>
    <col min="1" max="11" width="12.7109375" customWidth="1"/>
    <col min="12" max="12" width="11.42578125" customWidth="1"/>
    <col min="13" max="13" width="11.42578125" style="8" customWidth="1"/>
  </cols>
  <sheetData>
    <row r="1" spans="1:11" x14ac:dyDescent="0.25">
      <c r="A1" t="s">
        <v>4</v>
      </c>
      <c r="B1" t="s">
        <v>23</v>
      </c>
      <c r="C1" t="s">
        <v>22</v>
      </c>
      <c r="D1" t="s">
        <v>8</v>
      </c>
      <c r="E1" t="s">
        <v>19</v>
      </c>
      <c r="F1" t="s">
        <v>18</v>
      </c>
      <c r="G1" t="s">
        <v>24</v>
      </c>
      <c r="H1" t="s">
        <v>12</v>
      </c>
      <c r="I1" t="s">
        <v>25</v>
      </c>
      <c r="J1" t="s">
        <v>11</v>
      </c>
      <c r="K1" t="s">
        <v>13</v>
      </c>
    </row>
    <row r="2" spans="1:11" x14ac:dyDescent="0.25">
      <c r="A2" s="7">
        <v>44748</v>
      </c>
      <c r="B2" s="1">
        <v>1</v>
      </c>
      <c r="C2" s="1">
        <v>1</v>
      </c>
      <c r="D2" s="1">
        <v>1</v>
      </c>
      <c r="E2" s="1"/>
      <c r="F2" s="1">
        <v>0</v>
      </c>
      <c r="G2" s="1">
        <v>0</v>
      </c>
      <c r="H2" s="1">
        <v>0</v>
      </c>
      <c r="I2" s="1">
        <v>0</v>
      </c>
      <c r="J2" s="1">
        <v>9999999999999</v>
      </c>
      <c r="K2" s="7">
        <v>44748</v>
      </c>
    </row>
    <row r="3" spans="1:11" x14ac:dyDescent="0.25">
      <c r="A3" s="7">
        <v>44739</v>
      </c>
      <c r="B3" s="1">
        <v>1</v>
      </c>
      <c r="C3" s="1">
        <v>1</v>
      </c>
      <c r="D3" s="1">
        <v>1</v>
      </c>
      <c r="E3" s="1"/>
      <c r="F3" s="1"/>
      <c r="G3" s="1">
        <v>2</v>
      </c>
      <c r="H3" s="1">
        <v>20</v>
      </c>
      <c r="I3" s="1">
        <v>10</v>
      </c>
      <c r="J3" s="1" t="s">
        <v>26</v>
      </c>
      <c r="K3" s="7">
        <v>44740</v>
      </c>
    </row>
    <row r="4" spans="1:11" x14ac:dyDescent="0.25">
      <c r="A4" s="7">
        <v>44739</v>
      </c>
      <c r="B4" s="1">
        <v>2</v>
      </c>
      <c r="C4" s="1">
        <v>1</v>
      </c>
      <c r="D4" s="1">
        <v>1</v>
      </c>
      <c r="E4" s="1"/>
      <c r="F4" s="1">
        <v>2</v>
      </c>
      <c r="G4" s="1">
        <v>2</v>
      </c>
      <c r="H4" s="1">
        <v>20</v>
      </c>
      <c r="I4" s="1">
        <v>1</v>
      </c>
      <c r="J4" s="1">
        <v>1233</v>
      </c>
      <c r="K4" s="7">
        <v>44740</v>
      </c>
    </row>
    <row r="5" spans="1:11" x14ac:dyDescent="0.25">
      <c r="A5" s="7">
        <v>44739</v>
      </c>
      <c r="B5" s="1">
        <v>2</v>
      </c>
      <c r="C5" s="1">
        <v>1</v>
      </c>
      <c r="D5" s="1">
        <v>1</v>
      </c>
      <c r="E5" s="1"/>
      <c r="F5" s="1">
        <v>2</v>
      </c>
      <c r="G5" s="1">
        <v>3</v>
      </c>
      <c r="H5" s="1">
        <v>10</v>
      </c>
      <c r="I5" s="1">
        <v>2</v>
      </c>
      <c r="J5" s="1">
        <v>1222</v>
      </c>
      <c r="K5" s="7">
        <v>44740</v>
      </c>
    </row>
    <row r="6" spans="1:11" x14ac:dyDescent="0.25">
      <c r="A6" s="7">
        <v>44739</v>
      </c>
      <c r="B6" s="1">
        <v>3</v>
      </c>
      <c r="C6" s="1">
        <v>1</v>
      </c>
      <c r="D6" s="1">
        <v>1</v>
      </c>
      <c r="E6" s="1"/>
      <c r="F6" s="1">
        <v>1</v>
      </c>
      <c r="G6" s="1">
        <v>2</v>
      </c>
      <c r="H6" s="1">
        <v>5</v>
      </c>
      <c r="I6" s="1">
        <v>11</v>
      </c>
      <c r="J6" s="1">
        <v>1111</v>
      </c>
      <c r="K6" s="7">
        <v>44748</v>
      </c>
    </row>
    <row r="7" spans="1:11" x14ac:dyDescent="0.25">
      <c r="A7" s="7">
        <v>44739</v>
      </c>
      <c r="B7" s="1">
        <v>4</v>
      </c>
      <c r="C7" s="1">
        <v>1</v>
      </c>
      <c r="D7" s="1">
        <v>1</v>
      </c>
      <c r="E7" s="1"/>
      <c r="F7" s="1">
        <v>1</v>
      </c>
      <c r="G7" s="1">
        <v>2</v>
      </c>
      <c r="H7" s="1">
        <v>3</v>
      </c>
      <c r="I7" s="1">
        <v>11</v>
      </c>
      <c r="J7" s="1">
        <v>333</v>
      </c>
      <c r="K7" s="7">
        <v>44748</v>
      </c>
    </row>
    <row r="8" spans="1:11" x14ac:dyDescent="0.25">
      <c r="A8" s="7">
        <v>44739</v>
      </c>
      <c r="B8" s="1">
        <v>5</v>
      </c>
      <c r="C8" s="1">
        <v>1</v>
      </c>
      <c r="D8" s="1">
        <v>1</v>
      </c>
      <c r="E8" s="1"/>
      <c r="F8" s="1">
        <v>1</v>
      </c>
      <c r="G8" s="1">
        <v>2</v>
      </c>
      <c r="H8" s="1">
        <v>34</v>
      </c>
      <c r="I8" s="1">
        <v>120</v>
      </c>
      <c r="J8" s="1">
        <v>1111</v>
      </c>
      <c r="K8" s="7">
        <v>44748</v>
      </c>
    </row>
    <row r="9" spans="1:11" x14ac:dyDescent="0.25">
      <c r="A9" s="7">
        <v>44739</v>
      </c>
      <c r="B9" s="1">
        <v>6</v>
      </c>
      <c r="C9" s="1">
        <v>1</v>
      </c>
      <c r="D9" s="1">
        <v>1</v>
      </c>
      <c r="E9" s="1"/>
      <c r="F9" s="1">
        <v>1</v>
      </c>
      <c r="G9" s="1">
        <v>2</v>
      </c>
      <c r="H9" s="1">
        <v>23</v>
      </c>
      <c r="I9" s="1">
        <v>12</v>
      </c>
      <c r="J9" s="1">
        <v>23456</v>
      </c>
      <c r="K9" s="7">
        <v>44748</v>
      </c>
    </row>
    <row r="10" spans="1:11" x14ac:dyDescent="0.25">
      <c r="A10" s="7">
        <v>44739</v>
      </c>
      <c r="B10" s="1">
        <v>7</v>
      </c>
      <c r="C10" s="1">
        <v>1</v>
      </c>
      <c r="D10" s="1">
        <v>1</v>
      </c>
      <c r="E10" s="1"/>
      <c r="F10" s="1">
        <v>1</v>
      </c>
      <c r="G10" s="1">
        <v>3</v>
      </c>
      <c r="H10" s="1">
        <v>10</v>
      </c>
      <c r="I10" s="1">
        <v>34</v>
      </c>
      <c r="J10" s="1">
        <v>233223</v>
      </c>
      <c r="K10" s="7">
        <v>44748</v>
      </c>
    </row>
    <row r="11" spans="1:11" x14ac:dyDescent="0.25">
      <c r="A11" s="7">
        <v>44739</v>
      </c>
      <c r="B11" s="1">
        <v>8</v>
      </c>
      <c r="C11" s="1">
        <v>3</v>
      </c>
      <c r="D11" s="1">
        <v>0</v>
      </c>
      <c r="E11" s="1">
        <v>1</v>
      </c>
      <c r="F11" s="1"/>
      <c r="G11" s="1">
        <v>3</v>
      </c>
      <c r="H11" s="1">
        <v>8</v>
      </c>
      <c r="I11" s="1">
        <v>0</v>
      </c>
      <c r="J11" s="1">
        <v>1222</v>
      </c>
      <c r="K11" s="7">
        <v>44740</v>
      </c>
    </row>
    <row r="12" spans="1:11" x14ac:dyDescent="0.25">
      <c r="A12" s="7">
        <v>44739</v>
      </c>
      <c r="B12" s="1">
        <v>9</v>
      </c>
      <c r="C12" s="1">
        <v>3</v>
      </c>
      <c r="D12" s="1">
        <v>0</v>
      </c>
      <c r="E12" s="1">
        <v>1</v>
      </c>
      <c r="F12" s="1"/>
      <c r="G12" s="1">
        <v>3</v>
      </c>
      <c r="H12" s="1">
        <v>2</v>
      </c>
      <c r="I12" s="1">
        <v>0</v>
      </c>
      <c r="J12" s="1">
        <v>1222</v>
      </c>
      <c r="K12" s="7">
        <v>44740</v>
      </c>
    </row>
    <row r="13" spans="1:11" x14ac:dyDescent="0.25">
      <c r="A13" s="7">
        <v>44739</v>
      </c>
      <c r="B13" s="1">
        <v>9</v>
      </c>
      <c r="C13" s="1">
        <v>3</v>
      </c>
      <c r="D13" s="1">
        <v>0</v>
      </c>
      <c r="E13" s="1">
        <v>1</v>
      </c>
      <c r="F13" s="1"/>
      <c r="G13" s="1">
        <v>3</v>
      </c>
      <c r="H13" s="1">
        <v>10</v>
      </c>
      <c r="I13" s="1">
        <v>0</v>
      </c>
      <c r="J13" s="1">
        <v>233223</v>
      </c>
      <c r="K13" s="7">
        <v>44748</v>
      </c>
    </row>
    <row r="14" spans="1:11" x14ac:dyDescent="0.25">
      <c r="A14" s="7">
        <v>44739</v>
      </c>
      <c r="B14" s="1">
        <v>10</v>
      </c>
      <c r="C14" s="1">
        <v>3</v>
      </c>
      <c r="D14" s="1">
        <v>0</v>
      </c>
      <c r="E14" s="1">
        <v>1</v>
      </c>
      <c r="F14" s="1"/>
      <c r="G14" s="1">
        <v>2</v>
      </c>
      <c r="H14" s="1">
        <v>20</v>
      </c>
      <c r="I14" s="1">
        <v>0</v>
      </c>
      <c r="J14" s="1">
        <v>1233</v>
      </c>
      <c r="K14" s="7">
        <v>44740</v>
      </c>
    </row>
    <row r="15" spans="1:11" x14ac:dyDescent="0.25">
      <c r="A15" s="7">
        <v>44739</v>
      </c>
      <c r="B15" s="1">
        <v>10</v>
      </c>
      <c r="C15" s="1">
        <v>3</v>
      </c>
      <c r="D15" s="1">
        <v>0</v>
      </c>
      <c r="E15" s="1">
        <v>1</v>
      </c>
      <c r="F15" s="1"/>
      <c r="G15" s="1">
        <v>2</v>
      </c>
      <c r="H15" s="1">
        <v>20</v>
      </c>
      <c r="I15" s="1">
        <v>0</v>
      </c>
      <c r="J15" s="1" t="s">
        <v>26</v>
      </c>
      <c r="K15" s="7">
        <v>44740</v>
      </c>
    </row>
    <row r="16" spans="1:11" x14ac:dyDescent="0.25">
      <c r="A16" s="7">
        <v>44739</v>
      </c>
      <c r="B16" s="1">
        <v>11</v>
      </c>
      <c r="C16" s="1">
        <v>1</v>
      </c>
      <c r="D16" s="1">
        <v>1</v>
      </c>
      <c r="E16" s="1"/>
      <c r="F16" s="1">
        <v>2</v>
      </c>
      <c r="G16" s="1">
        <v>2</v>
      </c>
      <c r="H16" s="1">
        <v>10</v>
      </c>
      <c r="I16" s="1">
        <v>30</v>
      </c>
      <c r="J16" s="1" t="s">
        <v>175</v>
      </c>
      <c r="K16" s="7">
        <v>44752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D6FCA-9C39-4724-8DB4-3548EFBA7332}">
  <sheetPr codeName="auxlot"/>
  <dimension ref="A1:N10"/>
  <sheetViews>
    <sheetView topLeftCell="C1" workbookViewId="0">
      <selection activeCell="I3" sqref="I3"/>
    </sheetView>
  </sheetViews>
  <sheetFormatPr baseColWidth="10" defaultRowHeight="15" x14ac:dyDescent="0.25"/>
  <sheetData>
    <row r="1" spans="1:14" x14ac:dyDescent="0.25">
      <c r="A1" t="s">
        <v>27</v>
      </c>
      <c r="B1" t="s">
        <v>28</v>
      </c>
      <c r="C1" t="s">
        <v>29</v>
      </c>
      <c r="D1" t="s">
        <v>30</v>
      </c>
      <c r="F1" t="s">
        <v>31</v>
      </c>
      <c r="G1" t="s">
        <v>32</v>
      </c>
      <c r="H1" t="s">
        <v>33</v>
      </c>
      <c r="I1" t="s">
        <v>34</v>
      </c>
      <c r="K1">
        <v>1</v>
      </c>
      <c r="L1">
        <v>0</v>
      </c>
      <c r="N1" t="s">
        <v>35</v>
      </c>
    </row>
    <row r="2" spans="1:14" x14ac:dyDescent="0.25">
      <c r="A2">
        <v>9999999999999</v>
      </c>
      <c r="C2">
        <v>0</v>
      </c>
      <c r="D2">
        <v>0</v>
      </c>
      <c r="F2">
        <v>1222</v>
      </c>
      <c r="G2" t="s">
        <v>48</v>
      </c>
      <c r="H2">
        <v>2</v>
      </c>
      <c r="I2">
        <v>2</v>
      </c>
      <c r="N2" t="s">
        <v>36</v>
      </c>
    </row>
    <row r="3" spans="1:14" x14ac:dyDescent="0.25">
      <c r="A3" t="s">
        <v>26</v>
      </c>
      <c r="B3" t="s">
        <v>46</v>
      </c>
      <c r="C3">
        <v>0</v>
      </c>
      <c r="D3">
        <v>10</v>
      </c>
      <c r="F3">
        <v>1111</v>
      </c>
      <c r="G3" t="s">
        <v>46</v>
      </c>
      <c r="H3">
        <v>5</v>
      </c>
      <c r="I3">
        <v>11</v>
      </c>
      <c r="N3" t="s">
        <v>37</v>
      </c>
    </row>
    <row r="4" spans="1:14" x14ac:dyDescent="0.25">
      <c r="A4">
        <v>1233</v>
      </c>
      <c r="B4" t="s">
        <v>46</v>
      </c>
      <c r="C4">
        <v>0</v>
      </c>
      <c r="D4">
        <v>1</v>
      </c>
      <c r="F4">
        <v>333</v>
      </c>
      <c r="G4" t="s">
        <v>46</v>
      </c>
      <c r="H4">
        <v>3</v>
      </c>
      <c r="I4">
        <v>11</v>
      </c>
      <c r="N4" t="s">
        <v>38</v>
      </c>
    </row>
    <row r="5" spans="1:14" x14ac:dyDescent="0.25">
      <c r="A5">
        <v>1222</v>
      </c>
      <c r="B5" t="s">
        <v>48</v>
      </c>
      <c r="C5">
        <v>2</v>
      </c>
      <c r="D5">
        <v>2</v>
      </c>
      <c r="F5">
        <v>23456</v>
      </c>
      <c r="G5" t="s">
        <v>46</v>
      </c>
      <c r="H5">
        <v>23</v>
      </c>
      <c r="I5">
        <v>12</v>
      </c>
      <c r="N5" t="s">
        <v>39</v>
      </c>
    </row>
    <row r="6" spans="1:14" x14ac:dyDescent="0.25">
      <c r="A6">
        <v>1111</v>
      </c>
      <c r="B6" t="s">
        <v>46</v>
      </c>
      <c r="C6">
        <v>5</v>
      </c>
      <c r="D6">
        <v>11</v>
      </c>
      <c r="F6" t="s">
        <v>175</v>
      </c>
      <c r="G6" t="s">
        <v>46</v>
      </c>
      <c r="H6">
        <v>10</v>
      </c>
      <c r="I6">
        <v>30</v>
      </c>
      <c r="N6" t="s">
        <v>40</v>
      </c>
    </row>
    <row r="7" spans="1:14" x14ac:dyDescent="0.25">
      <c r="A7">
        <v>333</v>
      </c>
      <c r="B7" t="s">
        <v>46</v>
      </c>
      <c r="C7">
        <v>3</v>
      </c>
      <c r="D7">
        <v>11</v>
      </c>
      <c r="N7" t="s">
        <v>41</v>
      </c>
    </row>
    <row r="8" spans="1:14" x14ac:dyDescent="0.25">
      <c r="A8">
        <v>23456</v>
      </c>
      <c r="B8" t="s">
        <v>46</v>
      </c>
      <c r="C8">
        <v>23</v>
      </c>
      <c r="D8">
        <v>12</v>
      </c>
      <c r="N8" t="s">
        <v>42</v>
      </c>
    </row>
    <row r="9" spans="1:14" x14ac:dyDescent="0.25">
      <c r="A9">
        <v>233223</v>
      </c>
      <c r="B9" t="s">
        <v>48</v>
      </c>
      <c r="C9">
        <v>0</v>
      </c>
      <c r="D9">
        <v>34</v>
      </c>
    </row>
    <row r="10" spans="1:14" x14ac:dyDescent="0.25">
      <c r="A10" t="s">
        <v>175</v>
      </c>
      <c r="B10" t="s">
        <v>46</v>
      </c>
      <c r="C10">
        <v>10</v>
      </c>
      <c r="D10">
        <v>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369B9-ED1C-4335-8041-FDDF096FBBEB}">
  <sheetPr codeName="Hoja1"/>
  <dimension ref="A1"/>
  <sheetViews>
    <sheetView workbookViewId="0"/>
  </sheetViews>
  <sheetFormatPr baseColWidth="10"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35793-E93B-4E50-B02C-FBD37E0B066D}">
  <sheetPr codeName="Hoja2"/>
  <dimension ref="A1:C735"/>
  <sheetViews>
    <sheetView tabSelected="1" workbookViewId="0">
      <selection activeCell="F14" sqref="F14"/>
    </sheetView>
  </sheetViews>
  <sheetFormatPr baseColWidth="10" defaultRowHeight="15" x14ac:dyDescent="0.25"/>
  <sheetData>
    <row r="1" spans="1:3" x14ac:dyDescent="0.25">
      <c r="A1" t="s">
        <v>157</v>
      </c>
      <c r="B1" t="s">
        <v>45</v>
      </c>
      <c r="C1" t="s">
        <v>43</v>
      </c>
    </row>
    <row r="2" spans="1:3" x14ac:dyDescent="0.25">
      <c r="A2" t="s">
        <v>157</v>
      </c>
      <c r="B2" t="s">
        <v>47</v>
      </c>
      <c r="C2" t="s">
        <v>46</v>
      </c>
    </row>
    <row r="3" spans="1:3" x14ac:dyDescent="0.25">
      <c r="A3" t="s">
        <v>157</v>
      </c>
      <c r="B3" t="s">
        <v>47</v>
      </c>
      <c r="C3" t="s">
        <v>48</v>
      </c>
    </row>
    <row r="4" spans="1:3" x14ac:dyDescent="0.25">
      <c r="A4" t="s">
        <v>157</v>
      </c>
      <c r="B4" t="s">
        <v>47</v>
      </c>
      <c r="C4" t="s">
        <v>49</v>
      </c>
    </row>
    <row r="5" spans="1:3" x14ac:dyDescent="0.25">
      <c r="A5" t="s">
        <v>157</v>
      </c>
      <c r="B5" t="s">
        <v>47</v>
      </c>
      <c r="C5" t="s">
        <v>50</v>
      </c>
    </row>
    <row r="6" spans="1:3" x14ac:dyDescent="0.25">
      <c r="A6" t="s">
        <v>157</v>
      </c>
      <c r="B6" t="s">
        <v>53</v>
      </c>
      <c r="C6" t="s">
        <v>51</v>
      </c>
    </row>
    <row r="7" spans="1:3" x14ac:dyDescent="0.25">
      <c r="A7" t="s">
        <v>157</v>
      </c>
      <c r="B7" t="s">
        <v>53</v>
      </c>
      <c r="C7" t="s">
        <v>54</v>
      </c>
    </row>
    <row r="8" spans="1:3" x14ac:dyDescent="0.25">
      <c r="A8" t="s">
        <v>157</v>
      </c>
      <c r="B8" t="s">
        <v>57</v>
      </c>
      <c r="C8" t="s">
        <v>56</v>
      </c>
    </row>
    <row r="9" spans="1:3" x14ac:dyDescent="0.25">
      <c r="A9" t="s">
        <v>157</v>
      </c>
      <c r="B9" t="s">
        <v>57</v>
      </c>
      <c r="C9" t="s">
        <v>58</v>
      </c>
    </row>
    <row r="10" spans="1:3" x14ac:dyDescent="0.25">
      <c r="A10" t="s">
        <v>157</v>
      </c>
      <c r="B10" t="s">
        <v>57</v>
      </c>
      <c r="C10" t="s">
        <v>59</v>
      </c>
    </row>
    <row r="11" spans="1:3" x14ac:dyDescent="0.25">
      <c r="A11" t="s">
        <v>157</v>
      </c>
      <c r="B11" t="s">
        <v>53</v>
      </c>
      <c r="C11" t="s">
        <v>61</v>
      </c>
    </row>
    <row r="12" spans="1:3" x14ac:dyDescent="0.25">
      <c r="A12" t="s">
        <v>157</v>
      </c>
      <c r="B12" t="s">
        <v>53</v>
      </c>
      <c r="C12" t="s">
        <v>62</v>
      </c>
    </row>
    <row r="13" spans="1:3" x14ac:dyDescent="0.25">
      <c r="A13" t="s">
        <v>157</v>
      </c>
      <c r="B13" t="s">
        <v>57</v>
      </c>
      <c r="C13" t="s">
        <v>63</v>
      </c>
    </row>
    <row r="14" spans="1:3" x14ac:dyDescent="0.25">
      <c r="A14" t="s">
        <v>157</v>
      </c>
      <c r="B14" t="s">
        <v>53</v>
      </c>
      <c r="C14" t="s">
        <v>64</v>
      </c>
    </row>
    <row r="15" spans="1:3" x14ac:dyDescent="0.25">
      <c r="A15" t="s">
        <v>157</v>
      </c>
      <c r="B15" t="s">
        <v>53</v>
      </c>
      <c r="C15" t="s">
        <v>65</v>
      </c>
    </row>
    <row r="16" spans="1:3" x14ac:dyDescent="0.25">
      <c r="A16" t="s">
        <v>157</v>
      </c>
      <c r="B16" t="s">
        <v>53</v>
      </c>
      <c r="C16" t="s">
        <v>66</v>
      </c>
    </row>
    <row r="17" spans="1:3" x14ac:dyDescent="0.25">
      <c r="A17" t="s">
        <v>157</v>
      </c>
      <c r="B17" t="s">
        <v>53</v>
      </c>
      <c r="C17" t="s">
        <v>67</v>
      </c>
    </row>
    <row r="18" spans="1:3" x14ac:dyDescent="0.25">
      <c r="A18" t="s">
        <v>157</v>
      </c>
      <c r="B18" t="s">
        <v>53</v>
      </c>
      <c r="C18" t="s">
        <v>68</v>
      </c>
    </row>
    <row r="19" spans="1:3" x14ac:dyDescent="0.25">
      <c r="A19" t="s">
        <v>157</v>
      </c>
      <c r="B19" t="s">
        <v>53</v>
      </c>
      <c r="C19" t="s">
        <v>69</v>
      </c>
    </row>
    <row r="20" spans="1:3" x14ac:dyDescent="0.25">
      <c r="A20" t="s">
        <v>157</v>
      </c>
      <c r="B20" t="s">
        <v>72</v>
      </c>
      <c r="C20" t="s">
        <v>70</v>
      </c>
    </row>
    <row r="21" spans="1:3" x14ac:dyDescent="0.25">
      <c r="A21" t="s">
        <v>157</v>
      </c>
      <c r="B21" t="s">
        <v>72</v>
      </c>
      <c r="C21" t="s">
        <v>73</v>
      </c>
    </row>
    <row r="22" spans="1:3" x14ac:dyDescent="0.25">
      <c r="A22" t="s">
        <v>157</v>
      </c>
      <c r="B22" t="s">
        <v>72</v>
      </c>
      <c r="C22" t="s">
        <v>74</v>
      </c>
    </row>
    <row r="23" spans="1:3" x14ac:dyDescent="0.25">
      <c r="A23" t="s">
        <v>157</v>
      </c>
      <c r="B23" t="s">
        <v>72</v>
      </c>
      <c r="C23" t="s">
        <v>75</v>
      </c>
    </row>
    <row r="24" spans="1:3" x14ac:dyDescent="0.25">
      <c r="A24" t="s">
        <v>157</v>
      </c>
      <c r="B24" t="s">
        <v>72</v>
      </c>
      <c r="C24" t="s">
        <v>76</v>
      </c>
    </row>
    <row r="25" spans="1:3" x14ac:dyDescent="0.25">
      <c r="A25" t="s">
        <v>157</v>
      </c>
      <c r="B25" t="s">
        <v>57</v>
      </c>
      <c r="C25" t="s">
        <v>77</v>
      </c>
    </row>
    <row r="26" spans="1:3" x14ac:dyDescent="0.25">
      <c r="A26" t="s">
        <v>157</v>
      </c>
      <c r="B26" t="s">
        <v>57</v>
      </c>
      <c r="C26" t="s">
        <v>78</v>
      </c>
    </row>
    <row r="27" spans="1:3" x14ac:dyDescent="0.25">
      <c r="A27" t="s">
        <v>157</v>
      </c>
      <c r="B27" t="s">
        <v>57</v>
      </c>
      <c r="C27" t="s">
        <v>79</v>
      </c>
    </row>
    <row r="28" spans="1:3" x14ac:dyDescent="0.25">
      <c r="A28" t="s">
        <v>157</v>
      </c>
      <c r="B28" t="s">
        <v>57</v>
      </c>
      <c r="C28" t="s">
        <v>80</v>
      </c>
    </row>
    <row r="29" spans="1:3" x14ac:dyDescent="0.25">
      <c r="A29" t="s">
        <v>157</v>
      </c>
      <c r="B29" t="s">
        <v>57</v>
      </c>
      <c r="C29" t="s">
        <v>81</v>
      </c>
    </row>
    <row r="30" spans="1:3" x14ac:dyDescent="0.25">
      <c r="A30" t="s">
        <v>157</v>
      </c>
      <c r="B30" t="s">
        <v>57</v>
      </c>
      <c r="C30" t="s">
        <v>82</v>
      </c>
    </row>
    <row r="31" spans="1:3" x14ac:dyDescent="0.25">
      <c r="A31" t="s">
        <v>157</v>
      </c>
      <c r="B31" t="s">
        <v>57</v>
      </c>
      <c r="C31" t="s">
        <v>83</v>
      </c>
    </row>
    <row r="32" spans="1:3" x14ac:dyDescent="0.25">
      <c r="A32" t="s">
        <v>157</v>
      </c>
      <c r="B32" t="s">
        <v>57</v>
      </c>
      <c r="C32" t="s">
        <v>84</v>
      </c>
    </row>
    <row r="33" spans="1:3" x14ac:dyDescent="0.25">
      <c r="A33" t="s">
        <v>157</v>
      </c>
      <c r="B33" t="s">
        <v>57</v>
      </c>
      <c r="C33" t="s">
        <v>85</v>
      </c>
    </row>
    <row r="34" spans="1:3" x14ac:dyDescent="0.25">
      <c r="A34" t="s">
        <v>157</v>
      </c>
      <c r="B34" t="s">
        <v>57</v>
      </c>
      <c r="C34" t="s">
        <v>86</v>
      </c>
    </row>
    <row r="35" spans="1:3" x14ac:dyDescent="0.25">
      <c r="A35" t="s">
        <v>157</v>
      </c>
      <c r="B35" t="s">
        <v>88</v>
      </c>
      <c r="C35" t="s">
        <v>87</v>
      </c>
    </row>
    <row r="36" spans="1:3" x14ac:dyDescent="0.25">
      <c r="A36" t="s">
        <v>157</v>
      </c>
      <c r="B36" t="s">
        <v>88</v>
      </c>
      <c r="C36" t="s">
        <v>89</v>
      </c>
    </row>
    <row r="37" spans="1:3" x14ac:dyDescent="0.25">
      <c r="A37" t="s">
        <v>157</v>
      </c>
      <c r="B37" t="s">
        <v>88</v>
      </c>
      <c r="C37" t="s">
        <v>90</v>
      </c>
    </row>
    <row r="38" spans="1:3" x14ac:dyDescent="0.25">
      <c r="A38" t="s">
        <v>157</v>
      </c>
      <c r="B38" t="s">
        <v>88</v>
      </c>
      <c r="C38" t="s">
        <v>91</v>
      </c>
    </row>
    <row r="39" spans="1:3" x14ac:dyDescent="0.25">
      <c r="A39" t="s">
        <v>157</v>
      </c>
      <c r="B39" t="s">
        <v>88</v>
      </c>
      <c r="C39" t="s">
        <v>92</v>
      </c>
    </row>
    <row r="40" spans="1:3" x14ac:dyDescent="0.25">
      <c r="A40" t="s">
        <v>157</v>
      </c>
      <c r="B40" t="s">
        <v>88</v>
      </c>
      <c r="C40" t="s">
        <v>93</v>
      </c>
    </row>
    <row r="41" spans="1:3" x14ac:dyDescent="0.25">
      <c r="A41" t="s">
        <v>157</v>
      </c>
      <c r="B41" t="s">
        <v>88</v>
      </c>
      <c r="C41" t="s">
        <v>94</v>
      </c>
    </row>
    <row r="42" spans="1:3" x14ac:dyDescent="0.25">
      <c r="A42" t="s">
        <v>157</v>
      </c>
      <c r="B42" t="s">
        <v>88</v>
      </c>
      <c r="C42" t="s">
        <v>95</v>
      </c>
    </row>
    <row r="43" spans="1:3" x14ac:dyDescent="0.25">
      <c r="A43" t="s">
        <v>157</v>
      </c>
      <c r="B43" t="s">
        <v>88</v>
      </c>
      <c r="C43" t="s">
        <v>96</v>
      </c>
    </row>
    <row r="44" spans="1:3" x14ac:dyDescent="0.25">
      <c r="A44" t="s">
        <v>157</v>
      </c>
      <c r="B44" t="s">
        <v>88</v>
      </c>
      <c r="C44" t="s">
        <v>97</v>
      </c>
    </row>
    <row r="45" spans="1:3" x14ac:dyDescent="0.25">
      <c r="A45" t="s">
        <v>157</v>
      </c>
      <c r="B45" t="s">
        <v>88</v>
      </c>
      <c r="C45" t="s">
        <v>98</v>
      </c>
    </row>
    <row r="46" spans="1:3" x14ac:dyDescent="0.25">
      <c r="A46" t="s">
        <v>157</v>
      </c>
      <c r="B46" t="s">
        <v>88</v>
      </c>
      <c r="C46" t="s">
        <v>99</v>
      </c>
    </row>
    <row r="47" spans="1:3" x14ac:dyDescent="0.25">
      <c r="A47" t="s">
        <v>157</v>
      </c>
      <c r="B47" t="s">
        <v>88</v>
      </c>
      <c r="C47" t="s">
        <v>100</v>
      </c>
    </row>
    <row r="48" spans="1:3" x14ac:dyDescent="0.25">
      <c r="A48" t="s">
        <v>157</v>
      </c>
      <c r="B48" t="s">
        <v>88</v>
      </c>
      <c r="C48" t="s">
        <v>101</v>
      </c>
    </row>
    <row r="49" spans="1:3" x14ac:dyDescent="0.25">
      <c r="A49" t="s">
        <v>157</v>
      </c>
      <c r="B49" t="s">
        <v>88</v>
      </c>
      <c r="C49" t="s">
        <v>102</v>
      </c>
    </row>
    <row r="50" spans="1:3" x14ac:dyDescent="0.25">
      <c r="A50" t="s">
        <v>157</v>
      </c>
      <c r="B50" t="s">
        <v>88</v>
      </c>
      <c r="C50" t="s">
        <v>103</v>
      </c>
    </row>
    <row r="51" spans="1:3" x14ac:dyDescent="0.25">
      <c r="A51" t="s">
        <v>157</v>
      </c>
      <c r="B51" t="s">
        <v>88</v>
      </c>
      <c r="C51" t="s">
        <v>104</v>
      </c>
    </row>
    <row r="52" spans="1:3" x14ac:dyDescent="0.25">
      <c r="A52" t="s">
        <v>157</v>
      </c>
      <c r="B52" t="s">
        <v>88</v>
      </c>
      <c r="C52" t="s">
        <v>105</v>
      </c>
    </row>
    <row r="53" spans="1:3" x14ac:dyDescent="0.25">
      <c r="A53" t="s">
        <v>157</v>
      </c>
      <c r="B53" t="s">
        <v>88</v>
      </c>
      <c r="C53" t="s">
        <v>106</v>
      </c>
    </row>
    <row r="54" spans="1:3" x14ac:dyDescent="0.25">
      <c r="A54" t="s">
        <v>157</v>
      </c>
      <c r="B54" t="s">
        <v>88</v>
      </c>
      <c r="C54" t="s">
        <v>107</v>
      </c>
    </row>
    <row r="55" spans="1:3" x14ac:dyDescent="0.25">
      <c r="A55" t="s">
        <v>157</v>
      </c>
      <c r="B55" t="s">
        <v>88</v>
      </c>
      <c r="C55" t="s">
        <v>108</v>
      </c>
    </row>
    <row r="56" spans="1:3" x14ac:dyDescent="0.25">
      <c r="A56" t="s">
        <v>157</v>
      </c>
      <c r="B56" t="s">
        <v>88</v>
      </c>
      <c r="C56" t="s">
        <v>109</v>
      </c>
    </row>
    <row r="57" spans="1:3" x14ac:dyDescent="0.25">
      <c r="A57" t="s">
        <v>157</v>
      </c>
      <c r="B57" t="s">
        <v>88</v>
      </c>
      <c r="C57" t="s">
        <v>110</v>
      </c>
    </row>
    <row r="58" spans="1:3" x14ac:dyDescent="0.25">
      <c r="A58" t="s">
        <v>157</v>
      </c>
      <c r="B58" t="s">
        <v>53</v>
      </c>
      <c r="C58" t="s">
        <v>111</v>
      </c>
    </row>
    <row r="59" spans="1:3" x14ac:dyDescent="0.25">
      <c r="A59" t="s">
        <v>157</v>
      </c>
      <c r="B59" t="s">
        <v>113</v>
      </c>
      <c r="C59" t="s">
        <v>112</v>
      </c>
    </row>
    <row r="60" spans="1:3" x14ac:dyDescent="0.25">
      <c r="A60" t="s">
        <v>157</v>
      </c>
      <c r="B60" t="s">
        <v>113</v>
      </c>
      <c r="C60" t="s">
        <v>114</v>
      </c>
    </row>
    <row r="61" spans="1:3" x14ac:dyDescent="0.25">
      <c r="A61" t="s">
        <v>157</v>
      </c>
      <c r="B61" t="s">
        <v>113</v>
      </c>
      <c r="C61" t="s">
        <v>115</v>
      </c>
    </row>
    <row r="62" spans="1:3" x14ac:dyDescent="0.25">
      <c r="A62" t="s">
        <v>157</v>
      </c>
      <c r="B62" t="s">
        <v>113</v>
      </c>
      <c r="C62" t="s">
        <v>116</v>
      </c>
    </row>
    <row r="63" spans="1:3" x14ac:dyDescent="0.25">
      <c r="A63" t="s">
        <v>157</v>
      </c>
      <c r="B63" t="s">
        <v>113</v>
      </c>
      <c r="C63" t="s">
        <v>117</v>
      </c>
    </row>
    <row r="64" spans="1:3" x14ac:dyDescent="0.25">
      <c r="A64" t="s">
        <v>157</v>
      </c>
      <c r="B64" t="s">
        <v>113</v>
      </c>
      <c r="C64" t="s">
        <v>118</v>
      </c>
    </row>
    <row r="65" spans="1:3" x14ac:dyDescent="0.25">
      <c r="A65" t="s">
        <v>157</v>
      </c>
      <c r="B65" t="s">
        <v>113</v>
      </c>
      <c r="C65" t="s">
        <v>119</v>
      </c>
    </row>
    <row r="66" spans="1:3" x14ac:dyDescent="0.25">
      <c r="A66" t="s">
        <v>157</v>
      </c>
      <c r="B66" t="s">
        <v>113</v>
      </c>
      <c r="C66" t="s">
        <v>120</v>
      </c>
    </row>
    <row r="67" spans="1:3" x14ac:dyDescent="0.25">
      <c r="A67" t="s">
        <v>157</v>
      </c>
      <c r="B67" t="s">
        <v>121</v>
      </c>
      <c r="C67" t="s">
        <v>94</v>
      </c>
    </row>
    <row r="68" spans="1:3" x14ac:dyDescent="0.25">
      <c r="A68" t="s">
        <v>157</v>
      </c>
      <c r="B68" t="s">
        <v>121</v>
      </c>
      <c r="C68" t="s">
        <v>99</v>
      </c>
    </row>
    <row r="69" spans="1:3" x14ac:dyDescent="0.25">
      <c r="A69" t="s">
        <v>157</v>
      </c>
      <c r="B69" t="s">
        <v>121</v>
      </c>
      <c r="C69" t="s">
        <v>122</v>
      </c>
    </row>
    <row r="70" spans="1:3" x14ac:dyDescent="0.25">
      <c r="A70" t="s">
        <v>157</v>
      </c>
      <c r="B70" t="s">
        <v>121</v>
      </c>
      <c r="C70" t="s">
        <v>92</v>
      </c>
    </row>
    <row r="71" spans="1:3" x14ac:dyDescent="0.25">
      <c r="A71" t="s">
        <v>157</v>
      </c>
      <c r="B71" t="s">
        <v>121</v>
      </c>
      <c r="C71" t="s">
        <v>100</v>
      </c>
    </row>
    <row r="72" spans="1:3" x14ac:dyDescent="0.25">
      <c r="A72" t="s">
        <v>157</v>
      </c>
      <c r="B72" t="s">
        <v>121</v>
      </c>
      <c r="C72" t="s">
        <v>101</v>
      </c>
    </row>
    <row r="73" spans="1:3" x14ac:dyDescent="0.25">
      <c r="A73" t="s">
        <v>157</v>
      </c>
      <c r="B73" t="s">
        <v>121</v>
      </c>
      <c r="C73" t="s">
        <v>108</v>
      </c>
    </row>
    <row r="74" spans="1:3" x14ac:dyDescent="0.25">
      <c r="A74" t="s">
        <v>157</v>
      </c>
      <c r="B74" t="s">
        <v>121</v>
      </c>
      <c r="C74" t="s">
        <v>123</v>
      </c>
    </row>
    <row r="75" spans="1:3" x14ac:dyDescent="0.25">
      <c r="A75" t="s">
        <v>157</v>
      </c>
      <c r="B75" t="s">
        <v>121</v>
      </c>
      <c r="C75" t="s">
        <v>124</v>
      </c>
    </row>
    <row r="76" spans="1:3" x14ac:dyDescent="0.25">
      <c r="A76" t="s">
        <v>157</v>
      </c>
      <c r="B76" t="s">
        <v>121</v>
      </c>
      <c r="C76" t="s">
        <v>125</v>
      </c>
    </row>
    <row r="77" spans="1:3" x14ac:dyDescent="0.25">
      <c r="A77" t="s">
        <v>157</v>
      </c>
      <c r="B77" t="s">
        <v>121</v>
      </c>
      <c r="C77" t="s">
        <v>109</v>
      </c>
    </row>
    <row r="78" spans="1:3" x14ac:dyDescent="0.25">
      <c r="A78" t="s">
        <v>157</v>
      </c>
      <c r="B78" t="s">
        <v>121</v>
      </c>
      <c r="C78" t="s">
        <v>87</v>
      </c>
    </row>
    <row r="79" spans="1:3" x14ac:dyDescent="0.25">
      <c r="A79" t="s">
        <v>157</v>
      </c>
      <c r="B79" t="s">
        <v>121</v>
      </c>
      <c r="C79" t="s">
        <v>126</v>
      </c>
    </row>
    <row r="80" spans="1:3" x14ac:dyDescent="0.25">
      <c r="A80" t="s">
        <v>157</v>
      </c>
      <c r="B80" t="s">
        <v>121</v>
      </c>
      <c r="C80" t="s">
        <v>102</v>
      </c>
    </row>
    <row r="81" spans="1:3" x14ac:dyDescent="0.25">
      <c r="A81" t="s">
        <v>157</v>
      </c>
      <c r="B81" t="s">
        <v>121</v>
      </c>
      <c r="C81" t="s">
        <v>103</v>
      </c>
    </row>
    <row r="82" spans="1:3" x14ac:dyDescent="0.25">
      <c r="A82" t="s">
        <v>157</v>
      </c>
      <c r="B82" t="s">
        <v>121</v>
      </c>
      <c r="C82" t="s">
        <v>127</v>
      </c>
    </row>
    <row r="83" spans="1:3" x14ac:dyDescent="0.25">
      <c r="A83" t="s">
        <v>157</v>
      </c>
      <c r="B83" t="s">
        <v>121</v>
      </c>
      <c r="C83" t="s">
        <v>89</v>
      </c>
    </row>
    <row r="84" spans="1:3" x14ac:dyDescent="0.25">
      <c r="A84" t="s">
        <v>157</v>
      </c>
      <c r="B84" t="s">
        <v>121</v>
      </c>
      <c r="C84" t="s">
        <v>128</v>
      </c>
    </row>
    <row r="85" spans="1:3" x14ac:dyDescent="0.25">
      <c r="A85" t="s">
        <v>157</v>
      </c>
      <c r="B85" t="s">
        <v>121</v>
      </c>
      <c r="C85" t="s">
        <v>129</v>
      </c>
    </row>
    <row r="86" spans="1:3" x14ac:dyDescent="0.25">
      <c r="A86" t="s">
        <v>157</v>
      </c>
      <c r="B86" t="s">
        <v>121</v>
      </c>
      <c r="C86" t="s">
        <v>97</v>
      </c>
    </row>
    <row r="87" spans="1:3" x14ac:dyDescent="0.25">
      <c r="A87" t="s">
        <v>157</v>
      </c>
      <c r="B87" t="s">
        <v>121</v>
      </c>
      <c r="C87" t="s">
        <v>96</v>
      </c>
    </row>
    <row r="88" spans="1:3" x14ac:dyDescent="0.25">
      <c r="A88" t="s">
        <v>157</v>
      </c>
      <c r="B88" t="s">
        <v>45</v>
      </c>
      <c r="C88" t="s">
        <v>130</v>
      </c>
    </row>
    <row r="89" spans="1:3" x14ac:dyDescent="0.25">
      <c r="A89" t="s">
        <v>157</v>
      </c>
      <c r="B89" t="s">
        <v>45</v>
      </c>
      <c r="C89" t="s">
        <v>131</v>
      </c>
    </row>
    <row r="90" spans="1:3" x14ac:dyDescent="0.25">
      <c r="A90" t="s">
        <v>157</v>
      </c>
      <c r="B90" t="s">
        <v>45</v>
      </c>
      <c r="C90" t="s">
        <v>132</v>
      </c>
    </row>
    <row r="91" spans="1:3" x14ac:dyDescent="0.25">
      <c r="A91" t="s">
        <v>157</v>
      </c>
      <c r="B91" t="s">
        <v>134</v>
      </c>
      <c r="C91" t="s">
        <v>133</v>
      </c>
    </row>
    <row r="92" spans="1:3" x14ac:dyDescent="0.25">
      <c r="A92" t="s">
        <v>157</v>
      </c>
      <c r="B92" t="s">
        <v>134</v>
      </c>
      <c r="C92" t="s">
        <v>135</v>
      </c>
    </row>
    <row r="93" spans="1:3" x14ac:dyDescent="0.25">
      <c r="A93" t="s">
        <v>157</v>
      </c>
      <c r="B93" t="s">
        <v>134</v>
      </c>
      <c r="C93" t="s">
        <v>136</v>
      </c>
    </row>
    <row r="94" spans="1:3" x14ac:dyDescent="0.25">
      <c r="A94" t="s">
        <v>157</v>
      </c>
      <c r="B94" t="s">
        <v>134</v>
      </c>
      <c r="C94" t="s">
        <v>137</v>
      </c>
    </row>
    <row r="95" spans="1:3" x14ac:dyDescent="0.25">
      <c r="A95" t="s">
        <v>157</v>
      </c>
      <c r="B95" t="s">
        <v>134</v>
      </c>
      <c r="C95" t="s">
        <v>138</v>
      </c>
    </row>
    <row r="96" spans="1:3" x14ac:dyDescent="0.25">
      <c r="A96" t="s">
        <v>157</v>
      </c>
      <c r="B96" t="s">
        <v>134</v>
      </c>
      <c r="C96" t="s">
        <v>140</v>
      </c>
    </row>
    <row r="97" spans="1:3" x14ac:dyDescent="0.25">
      <c r="A97" t="s">
        <v>157</v>
      </c>
      <c r="B97" t="s">
        <v>134</v>
      </c>
      <c r="C97" t="s">
        <v>112</v>
      </c>
    </row>
    <row r="98" spans="1:3" x14ac:dyDescent="0.25">
      <c r="A98" t="s">
        <v>157</v>
      </c>
      <c r="B98" t="s">
        <v>134</v>
      </c>
      <c r="C98" t="s">
        <v>141</v>
      </c>
    </row>
    <row r="99" spans="1:3" x14ac:dyDescent="0.25">
      <c r="A99" t="s">
        <v>157</v>
      </c>
      <c r="B99" t="s">
        <v>134</v>
      </c>
      <c r="C99" t="s">
        <v>142</v>
      </c>
    </row>
    <row r="100" spans="1:3" x14ac:dyDescent="0.25">
      <c r="A100" t="s">
        <v>157</v>
      </c>
      <c r="B100" t="s">
        <v>134</v>
      </c>
      <c r="C100" t="s">
        <v>143</v>
      </c>
    </row>
    <row r="101" spans="1:3" x14ac:dyDescent="0.25">
      <c r="A101" t="s">
        <v>157</v>
      </c>
      <c r="B101" t="s">
        <v>134</v>
      </c>
      <c r="C101" t="s">
        <v>144</v>
      </c>
    </row>
    <row r="102" spans="1:3" x14ac:dyDescent="0.25">
      <c r="A102" t="s">
        <v>157</v>
      </c>
      <c r="B102" t="s">
        <v>134</v>
      </c>
      <c r="C102" t="s">
        <v>145</v>
      </c>
    </row>
    <row r="103" spans="1:3" x14ac:dyDescent="0.25">
      <c r="A103" t="s">
        <v>157</v>
      </c>
      <c r="B103" t="s">
        <v>134</v>
      </c>
      <c r="C103" t="s">
        <v>146</v>
      </c>
    </row>
    <row r="104" spans="1:3" x14ac:dyDescent="0.25">
      <c r="A104" t="s">
        <v>157</v>
      </c>
      <c r="B104" t="s">
        <v>134</v>
      </c>
      <c r="C104" t="s">
        <v>147</v>
      </c>
    </row>
    <row r="105" spans="1:3" x14ac:dyDescent="0.25">
      <c r="A105" t="s">
        <v>157</v>
      </c>
      <c r="B105" t="s">
        <v>134</v>
      </c>
      <c r="C105" t="s">
        <v>148</v>
      </c>
    </row>
    <row r="106" spans="1:3" x14ac:dyDescent="0.25">
      <c r="A106" t="s">
        <v>158</v>
      </c>
      <c r="B106" t="s">
        <v>45</v>
      </c>
      <c r="C106" t="s">
        <v>43</v>
      </c>
    </row>
    <row r="107" spans="1:3" x14ac:dyDescent="0.25">
      <c r="A107" t="s">
        <v>158</v>
      </c>
      <c r="B107" t="s">
        <v>47</v>
      </c>
      <c r="C107" t="s">
        <v>46</v>
      </c>
    </row>
    <row r="108" spans="1:3" x14ac:dyDescent="0.25">
      <c r="A108" t="s">
        <v>158</v>
      </c>
      <c r="B108" t="s">
        <v>47</v>
      </c>
      <c r="C108" t="s">
        <v>48</v>
      </c>
    </row>
    <row r="109" spans="1:3" x14ac:dyDescent="0.25">
      <c r="A109" t="s">
        <v>158</v>
      </c>
      <c r="B109" t="s">
        <v>47</v>
      </c>
      <c r="C109" t="s">
        <v>49</v>
      </c>
    </row>
    <row r="110" spans="1:3" x14ac:dyDescent="0.25">
      <c r="A110" t="s">
        <v>158</v>
      </c>
      <c r="B110" t="s">
        <v>47</v>
      </c>
      <c r="C110" t="s">
        <v>50</v>
      </c>
    </row>
    <row r="111" spans="1:3" x14ac:dyDescent="0.25">
      <c r="A111" t="s">
        <v>158</v>
      </c>
      <c r="B111" t="s">
        <v>53</v>
      </c>
      <c r="C111" t="s">
        <v>51</v>
      </c>
    </row>
    <row r="112" spans="1:3" x14ac:dyDescent="0.25">
      <c r="A112" t="s">
        <v>158</v>
      </c>
      <c r="B112" t="s">
        <v>53</v>
      </c>
      <c r="C112" t="s">
        <v>54</v>
      </c>
    </row>
    <row r="113" spans="1:3" x14ac:dyDescent="0.25">
      <c r="A113" t="s">
        <v>158</v>
      </c>
      <c r="B113" t="s">
        <v>57</v>
      </c>
      <c r="C113" t="s">
        <v>56</v>
      </c>
    </row>
    <row r="114" spans="1:3" x14ac:dyDescent="0.25">
      <c r="A114" t="s">
        <v>158</v>
      </c>
      <c r="B114" t="s">
        <v>57</v>
      </c>
      <c r="C114" t="s">
        <v>58</v>
      </c>
    </row>
    <row r="115" spans="1:3" x14ac:dyDescent="0.25">
      <c r="A115" t="s">
        <v>158</v>
      </c>
      <c r="B115" t="s">
        <v>57</v>
      </c>
      <c r="C115" t="s">
        <v>59</v>
      </c>
    </row>
    <row r="116" spans="1:3" x14ac:dyDescent="0.25">
      <c r="A116" t="s">
        <v>158</v>
      </c>
      <c r="B116" t="s">
        <v>53</v>
      </c>
      <c r="C116" t="s">
        <v>61</v>
      </c>
    </row>
    <row r="117" spans="1:3" x14ac:dyDescent="0.25">
      <c r="A117" t="s">
        <v>158</v>
      </c>
      <c r="B117" t="s">
        <v>53</v>
      </c>
      <c r="C117" t="s">
        <v>62</v>
      </c>
    </row>
    <row r="118" spans="1:3" x14ac:dyDescent="0.25">
      <c r="A118" t="s">
        <v>158</v>
      </c>
      <c r="B118" t="s">
        <v>57</v>
      </c>
      <c r="C118" t="s">
        <v>63</v>
      </c>
    </row>
    <row r="119" spans="1:3" x14ac:dyDescent="0.25">
      <c r="A119" t="s">
        <v>158</v>
      </c>
      <c r="B119" t="s">
        <v>53</v>
      </c>
      <c r="C119" t="s">
        <v>64</v>
      </c>
    </row>
    <row r="120" spans="1:3" x14ac:dyDescent="0.25">
      <c r="A120" t="s">
        <v>158</v>
      </c>
      <c r="B120" t="s">
        <v>53</v>
      </c>
      <c r="C120" t="s">
        <v>65</v>
      </c>
    </row>
    <row r="121" spans="1:3" x14ac:dyDescent="0.25">
      <c r="A121" t="s">
        <v>158</v>
      </c>
      <c r="B121" t="s">
        <v>53</v>
      </c>
      <c r="C121" t="s">
        <v>66</v>
      </c>
    </row>
    <row r="122" spans="1:3" x14ac:dyDescent="0.25">
      <c r="A122" t="s">
        <v>158</v>
      </c>
      <c r="B122" t="s">
        <v>53</v>
      </c>
      <c r="C122" t="s">
        <v>67</v>
      </c>
    </row>
    <row r="123" spans="1:3" x14ac:dyDescent="0.25">
      <c r="A123" t="s">
        <v>158</v>
      </c>
      <c r="B123" t="s">
        <v>53</v>
      </c>
      <c r="C123" t="s">
        <v>68</v>
      </c>
    </row>
    <row r="124" spans="1:3" x14ac:dyDescent="0.25">
      <c r="A124" t="s">
        <v>158</v>
      </c>
      <c r="B124" t="s">
        <v>53</v>
      </c>
      <c r="C124" t="s">
        <v>69</v>
      </c>
    </row>
    <row r="125" spans="1:3" x14ac:dyDescent="0.25">
      <c r="A125" t="s">
        <v>158</v>
      </c>
      <c r="B125" t="s">
        <v>72</v>
      </c>
      <c r="C125" t="s">
        <v>70</v>
      </c>
    </row>
    <row r="126" spans="1:3" x14ac:dyDescent="0.25">
      <c r="A126" t="s">
        <v>158</v>
      </c>
      <c r="B126" t="s">
        <v>72</v>
      </c>
      <c r="C126" t="s">
        <v>73</v>
      </c>
    </row>
    <row r="127" spans="1:3" x14ac:dyDescent="0.25">
      <c r="A127" t="s">
        <v>158</v>
      </c>
      <c r="B127" t="s">
        <v>72</v>
      </c>
      <c r="C127" t="s">
        <v>74</v>
      </c>
    </row>
    <row r="128" spans="1:3" x14ac:dyDescent="0.25">
      <c r="A128" t="s">
        <v>158</v>
      </c>
      <c r="B128" t="s">
        <v>72</v>
      </c>
      <c r="C128" t="s">
        <v>75</v>
      </c>
    </row>
    <row r="129" spans="1:3" x14ac:dyDescent="0.25">
      <c r="A129" t="s">
        <v>158</v>
      </c>
      <c r="B129" t="s">
        <v>72</v>
      </c>
      <c r="C129" t="s">
        <v>76</v>
      </c>
    </row>
    <row r="130" spans="1:3" x14ac:dyDescent="0.25">
      <c r="A130" t="s">
        <v>158</v>
      </c>
      <c r="B130" t="s">
        <v>57</v>
      </c>
      <c r="C130" t="s">
        <v>77</v>
      </c>
    </row>
    <row r="131" spans="1:3" x14ac:dyDescent="0.25">
      <c r="A131" t="s">
        <v>158</v>
      </c>
      <c r="B131" t="s">
        <v>57</v>
      </c>
      <c r="C131" t="s">
        <v>78</v>
      </c>
    </row>
    <row r="132" spans="1:3" x14ac:dyDescent="0.25">
      <c r="A132" t="s">
        <v>158</v>
      </c>
      <c r="B132" t="s">
        <v>57</v>
      </c>
      <c r="C132" t="s">
        <v>79</v>
      </c>
    </row>
    <row r="133" spans="1:3" x14ac:dyDescent="0.25">
      <c r="A133" t="s">
        <v>158</v>
      </c>
      <c r="B133" t="s">
        <v>57</v>
      </c>
      <c r="C133" t="s">
        <v>80</v>
      </c>
    </row>
    <row r="134" spans="1:3" x14ac:dyDescent="0.25">
      <c r="A134" t="s">
        <v>158</v>
      </c>
      <c r="B134" t="s">
        <v>57</v>
      </c>
      <c r="C134" t="s">
        <v>81</v>
      </c>
    </row>
    <row r="135" spans="1:3" x14ac:dyDescent="0.25">
      <c r="A135" t="s">
        <v>158</v>
      </c>
      <c r="B135" t="s">
        <v>57</v>
      </c>
      <c r="C135" t="s">
        <v>82</v>
      </c>
    </row>
    <row r="136" spans="1:3" x14ac:dyDescent="0.25">
      <c r="A136" t="s">
        <v>158</v>
      </c>
      <c r="B136" t="s">
        <v>57</v>
      </c>
      <c r="C136" t="s">
        <v>83</v>
      </c>
    </row>
    <row r="137" spans="1:3" x14ac:dyDescent="0.25">
      <c r="A137" t="s">
        <v>158</v>
      </c>
      <c r="B137" t="s">
        <v>57</v>
      </c>
      <c r="C137" t="s">
        <v>84</v>
      </c>
    </row>
    <row r="138" spans="1:3" x14ac:dyDescent="0.25">
      <c r="A138" t="s">
        <v>158</v>
      </c>
      <c r="B138" t="s">
        <v>57</v>
      </c>
      <c r="C138" t="s">
        <v>85</v>
      </c>
    </row>
    <row r="139" spans="1:3" x14ac:dyDescent="0.25">
      <c r="A139" t="s">
        <v>158</v>
      </c>
      <c r="B139" t="s">
        <v>57</v>
      </c>
      <c r="C139" t="s">
        <v>86</v>
      </c>
    </row>
    <row r="140" spans="1:3" x14ac:dyDescent="0.25">
      <c r="A140" t="s">
        <v>158</v>
      </c>
      <c r="B140" t="s">
        <v>88</v>
      </c>
      <c r="C140" t="s">
        <v>87</v>
      </c>
    </row>
    <row r="141" spans="1:3" x14ac:dyDescent="0.25">
      <c r="A141" t="s">
        <v>158</v>
      </c>
      <c r="B141" t="s">
        <v>88</v>
      </c>
      <c r="C141" t="s">
        <v>89</v>
      </c>
    </row>
    <row r="142" spans="1:3" x14ac:dyDescent="0.25">
      <c r="A142" t="s">
        <v>158</v>
      </c>
      <c r="B142" t="s">
        <v>88</v>
      </c>
      <c r="C142" t="s">
        <v>90</v>
      </c>
    </row>
    <row r="143" spans="1:3" x14ac:dyDescent="0.25">
      <c r="A143" t="s">
        <v>158</v>
      </c>
      <c r="B143" t="s">
        <v>88</v>
      </c>
      <c r="C143" t="s">
        <v>91</v>
      </c>
    </row>
    <row r="144" spans="1:3" x14ac:dyDescent="0.25">
      <c r="A144" t="s">
        <v>158</v>
      </c>
      <c r="B144" t="s">
        <v>88</v>
      </c>
      <c r="C144" t="s">
        <v>92</v>
      </c>
    </row>
    <row r="145" spans="1:3" x14ac:dyDescent="0.25">
      <c r="A145" t="s">
        <v>158</v>
      </c>
      <c r="B145" t="s">
        <v>88</v>
      </c>
      <c r="C145" t="s">
        <v>93</v>
      </c>
    </row>
    <row r="146" spans="1:3" x14ac:dyDescent="0.25">
      <c r="A146" t="s">
        <v>158</v>
      </c>
      <c r="B146" t="s">
        <v>88</v>
      </c>
      <c r="C146" t="s">
        <v>94</v>
      </c>
    </row>
    <row r="147" spans="1:3" x14ac:dyDescent="0.25">
      <c r="A147" t="s">
        <v>158</v>
      </c>
      <c r="B147" t="s">
        <v>88</v>
      </c>
      <c r="C147" t="s">
        <v>95</v>
      </c>
    </row>
    <row r="148" spans="1:3" x14ac:dyDescent="0.25">
      <c r="A148" t="s">
        <v>158</v>
      </c>
      <c r="B148" t="s">
        <v>88</v>
      </c>
      <c r="C148" t="s">
        <v>96</v>
      </c>
    </row>
    <row r="149" spans="1:3" x14ac:dyDescent="0.25">
      <c r="A149" t="s">
        <v>158</v>
      </c>
      <c r="B149" t="s">
        <v>88</v>
      </c>
      <c r="C149" t="s">
        <v>97</v>
      </c>
    </row>
    <row r="150" spans="1:3" x14ac:dyDescent="0.25">
      <c r="A150" t="s">
        <v>158</v>
      </c>
      <c r="B150" t="s">
        <v>88</v>
      </c>
      <c r="C150" t="s">
        <v>98</v>
      </c>
    </row>
    <row r="151" spans="1:3" x14ac:dyDescent="0.25">
      <c r="A151" t="s">
        <v>158</v>
      </c>
      <c r="B151" t="s">
        <v>88</v>
      </c>
      <c r="C151" t="s">
        <v>99</v>
      </c>
    </row>
    <row r="152" spans="1:3" x14ac:dyDescent="0.25">
      <c r="A152" t="s">
        <v>158</v>
      </c>
      <c r="B152" t="s">
        <v>88</v>
      </c>
      <c r="C152" t="s">
        <v>100</v>
      </c>
    </row>
    <row r="153" spans="1:3" x14ac:dyDescent="0.25">
      <c r="A153" t="s">
        <v>158</v>
      </c>
      <c r="B153" t="s">
        <v>88</v>
      </c>
      <c r="C153" t="s">
        <v>101</v>
      </c>
    </row>
    <row r="154" spans="1:3" x14ac:dyDescent="0.25">
      <c r="A154" t="s">
        <v>158</v>
      </c>
      <c r="B154" t="s">
        <v>88</v>
      </c>
      <c r="C154" t="s">
        <v>102</v>
      </c>
    </row>
    <row r="155" spans="1:3" x14ac:dyDescent="0.25">
      <c r="A155" t="s">
        <v>158</v>
      </c>
      <c r="B155" t="s">
        <v>88</v>
      </c>
      <c r="C155" t="s">
        <v>103</v>
      </c>
    </row>
    <row r="156" spans="1:3" x14ac:dyDescent="0.25">
      <c r="A156" t="s">
        <v>158</v>
      </c>
      <c r="B156" t="s">
        <v>88</v>
      </c>
      <c r="C156" t="s">
        <v>104</v>
      </c>
    </row>
    <row r="157" spans="1:3" x14ac:dyDescent="0.25">
      <c r="A157" t="s">
        <v>158</v>
      </c>
      <c r="B157" t="s">
        <v>88</v>
      </c>
      <c r="C157" t="s">
        <v>105</v>
      </c>
    </row>
    <row r="158" spans="1:3" x14ac:dyDescent="0.25">
      <c r="A158" t="s">
        <v>158</v>
      </c>
      <c r="B158" t="s">
        <v>88</v>
      </c>
      <c r="C158" t="s">
        <v>106</v>
      </c>
    </row>
    <row r="159" spans="1:3" x14ac:dyDescent="0.25">
      <c r="A159" t="s">
        <v>158</v>
      </c>
      <c r="B159" t="s">
        <v>88</v>
      </c>
      <c r="C159" t="s">
        <v>107</v>
      </c>
    </row>
    <row r="160" spans="1:3" x14ac:dyDescent="0.25">
      <c r="A160" t="s">
        <v>158</v>
      </c>
      <c r="B160" t="s">
        <v>88</v>
      </c>
      <c r="C160" t="s">
        <v>108</v>
      </c>
    </row>
    <row r="161" spans="1:3" x14ac:dyDescent="0.25">
      <c r="A161" t="s">
        <v>158</v>
      </c>
      <c r="B161" t="s">
        <v>88</v>
      </c>
      <c r="C161" t="s">
        <v>109</v>
      </c>
    </row>
    <row r="162" spans="1:3" x14ac:dyDescent="0.25">
      <c r="A162" t="s">
        <v>158</v>
      </c>
      <c r="B162" t="s">
        <v>88</v>
      </c>
      <c r="C162" t="s">
        <v>110</v>
      </c>
    </row>
    <row r="163" spans="1:3" x14ac:dyDescent="0.25">
      <c r="A163" t="s">
        <v>158</v>
      </c>
      <c r="B163" t="s">
        <v>53</v>
      </c>
      <c r="C163" t="s">
        <v>111</v>
      </c>
    </row>
    <row r="164" spans="1:3" x14ac:dyDescent="0.25">
      <c r="A164" t="s">
        <v>158</v>
      </c>
      <c r="B164" t="s">
        <v>113</v>
      </c>
      <c r="C164" t="s">
        <v>112</v>
      </c>
    </row>
    <row r="165" spans="1:3" x14ac:dyDescent="0.25">
      <c r="A165" t="s">
        <v>158</v>
      </c>
      <c r="B165" t="s">
        <v>113</v>
      </c>
      <c r="C165" t="s">
        <v>114</v>
      </c>
    </row>
    <row r="166" spans="1:3" x14ac:dyDescent="0.25">
      <c r="A166" t="s">
        <v>158</v>
      </c>
      <c r="B166" t="s">
        <v>113</v>
      </c>
      <c r="C166" t="s">
        <v>115</v>
      </c>
    </row>
    <row r="167" spans="1:3" x14ac:dyDescent="0.25">
      <c r="A167" t="s">
        <v>158</v>
      </c>
      <c r="B167" t="s">
        <v>113</v>
      </c>
      <c r="C167" t="s">
        <v>116</v>
      </c>
    </row>
    <row r="168" spans="1:3" x14ac:dyDescent="0.25">
      <c r="A168" t="s">
        <v>158</v>
      </c>
      <c r="B168" t="s">
        <v>113</v>
      </c>
      <c r="C168" t="s">
        <v>117</v>
      </c>
    </row>
    <row r="169" spans="1:3" x14ac:dyDescent="0.25">
      <c r="A169" t="s">
        <v>158</v>
      </c>
      <c r="B169" t="s">
        <v>113</v>
      </c>
      <c r="C169" t="s">
        <v>118</v>
      </c>
    </row>
    <row r="170" spans="1:3" x14ac:dyDescent="0.25">
      <c r="A170" t="s">
        <v>158</v>
      </c>
      <c r="B170" t="s">
        <v>113</v>
      </c>
      <c r="C170" t="s">
        <v>119</v>
      </c>
    </row>
    <row r="171" spans="1:3" x14ac:dyDescent="0.25">
      <c r="A171" t="s">
        <v>158</v>
      </c>
      <c r="B171" t="s">
        <v>113</v>
      </c>
      <c r="C171" t="s">
        <v>120</v>
      </c>
    </row>
    <row r="172" spans="1:3" x14ac:dyDescent="0.25">
      <c r="A172" t="s">
        <v>158</v>
      </c>
      <c r="B172" t="s">
        <v>121</v>
      </c>
      <c r="C172" t="s">
        <v>94</v>
      </c>
    </row>
    <row r="173" spans="1:3" x14ac:dyDescent="0.25">
      <c r="A173" t="s">
        <v>158</v>
      </c>
      <c r="B173" t="s">
        <v>121</v>
      </c>
      <c r="C173" t="s">
        <v>99</v>
      </c>
    </row>
    <row r="174" spans="1:3" x14ac:dyDescent="0.25">
      <c r="A174" t="s">
        <v>158</v>
      </c>
      <c r="B174" t="s">
        <v>121</v>
      </c>
      <c r="C174" t="s">
        <v>122</v>
      </c>
    </row>
    <row r="175" spans="1:3" x14ac:dyDescent="0.25">
      <c r="A175" t="s">
        <v>158</v>
      </c>
      <c r="B175" t="s">
        <v>121</v>
      </c>
      <c r="C175" t="s">
        <v>92</v>
      </c>
    </row>
    <row r="176" spans="1:3" x14ac:dyDescent="0.25">
      <c r="A176" t="s">
        <v>158</v>
      </c>
      <c r="B176" t="s">
        <v>121</v>
      </c>
      <c r="C176" t="s">
        <v>100</v>
      </c>
    </row>
    <row r="177" spans="1:3" x14ac:dyDescent="0.25">
      <c r="A177" t="s">
        <v>158</v>
      </c>
      <c r="B177" t="s">
        <v>121</v>
      </c>
      <c r="C177" t="s">
        <v>101</v>
      </c>
    </row>
    <row r="178" spans="1:3" x14ac:dyDescent="0.25">
      <c r="A178" t="s">
        <v>158</v>
      </c>
      <c r="B178" t="s">
        <v>121</v>
      </c>
      <c r="C178" t="s">
        <v>108</v>
      </c>
    </row>
    <row r="179" spans="1:3" x14ac:dyDescent="0.25">
      <c r="A179" t="s">
        <v>158</v>
      </c>
      <c r="B179" t="s">
        <v>121</v>
      </c>
      <c r="C179" t="s">
        <v>123</v>
      </c>
    </row>
    <row r="180" spans="1:3" x14ac:dyDescent="0.25">
      <c r="A180" t="s">
        <v>158</v>
      </c>
      <c r="B180" t="s">
        <v>121</v>
      </c>
      <c r="C180" t="s">
        <v>124</v>
      </c>
    </row>
    <row r="181" spans="1:3" x14ac:dyDescent="0.25">
      <c r="A181" t="s">
        <v>158</v>
      </c>
      <c r="B181" t="s">
        <v>121</v>
      </c>
      <c r="C181" t="s">
        <v>125</v>
      </c>
    </row>
    <row r="182" spans="1:3" x14ac:dyDescent="0.25">
      <c r="A182" t="s">
        <v>158</v>
      </c>
      <c r="B182" t="s">
        <v>121</v>
      </c>
      <c r="C182" t="s">
        <v>109</v>
      </c>
    </row>
    <row r="183" spans="1:3" x14ac:dyDescent="0.25">
      <c r="A183" t="s">
        <v>158</v>
      </c>
      <c r="B183" t="s">
        <v>121</v>
      </c>
      <c r="C183" t="s">
        <v>87</v>
      </c>
    </row>
    <row r="184" spans="1:3" x14ac:dyDescent="0.25">
      <c r="A184" t="s">
        <v>158</v>
      </c>
      <c r="B184" t="s">
        <v>121</v>
      </c>
      <c r="C184" t="s">
        <v>126</v>
      </c>
    </row>
    <row r="185" spans="1:3" x14ac:dyDescent="0.25">
      <c r="A185" t="s">
        <v>158</v>
      </c>
      <c r="B185" t="s">
        <v>121</v>
      </c>
      <c r="C185" t="s">
        <v>102</v>
      </c>
    </row>
    <row r="186" spans="1:3" x14ac:dyDescent="0.25">
      <c r="A186" t="s">
        <v>158</v>
      </c>
      <c r="B186" t="s">
        <v>121</v>
      </c>
      <c r="C186" t="s">
        <v>103</v>
      </c>
    </row>
    <row r="187" spans="1:3" x14ac:dyDescent="0.25">
      <c r="A187" t="s">
        <v>158</v>
      </c>
      <c r="B187" t="s">
        <v>121</v>
      </c>
      <c r="C187" t="s">
        <v>127</v>
      </c>
    </row>
    <row r="188" spans="1:3" x14ac:dyDescent="0.25">
      <c r="A188" t="s">
        <v>158</v>
      </c>
      <c r="B188" t="s">
        <v>121</v>
      </c>
      <c r="C188" t="s">
        <v>89</v>
      </c>
    </row>
    <row r="189" spans="1:3" x14ac:dyDescent="0.25">
      <c r="A189" t="s">
        <v>158</v>
      </c>
      <c r="B189" t="s">
        <v>121</v>
      </c>
      <c r="C189" t="s">
        <v>128</v>
      </c>
    </row>
    <row r="190" spans="1:3" x14ac:dyDescent="0.25">
      <c r="A190" t="s">
        <v>158</v>
      </c>
      <c r="B190" t="s">
        <v>121</v>
      </c>
      <c r="C190" t="s">
        <v>129</v>
      </c>
    </row>
    <row r="191" spans="1:3" x14ac:dyDescent="0.25">
      <c r="A191" t="s">
        <v>158</v>
      </c>
      <c r="B191" t="s">
        <v>121</v>
      </c>
      <c r="C191" t="s">
        <v>97</v>
      </c>
    </row>
    <row r="192" spans="1:3" x14ac:dyDescent="0.25">
      <c r="A192" t="s">
        <v>158</v>
      </c>
      <c r="B192" t="s">
        <v>121</v>
      </c>
      <c r="C192" t="s">
        <v>96</v>
      </c>
    </row>
    <row r="193" spans="1:3" x14ac:dyDescent="0.25">
      <c r="A193" t="s">
        <v>158</v>
      </c>
      <c r="B193" t="s">
        <v>45</v>
      </c>
      <c r="C193" t="s">
        <v>130</v>
      </c>
    </row>
    <row r="194" spans="1:3" x14ac:dyDescent="0.25">
      <c r="A194" t="s">
        <v>158</v>
      </c>
      <c r="B194" t="s">
        <v>45</v>
      </c>
      <c r="C194" t="s">
        <v>131</v>
      </c>
    </row>
    <row r="195" spans="1:3" x14ac:dyDescent="0.25">
      <c r="A195" t="s">
        <v>158</v>
      </c>
      <c r="B195" t="s">
        <v>45</v>
      </c>
      <c r="C195" t="s">
        <v>132</v>
      </c>
    </row>
    <row r="196" spans="1:3" x14ac:dyDescent="0.25">
      <c r="A196" t="s">
        <v>158</v>
      </c>
      <c r="B196" t="s">
        <v>134</v>
      </c>
      <c r="C196" t="s">
        <v>133</v>
      </c>
    </row>
    <row r="197" spans="1:3" x14ac:dyDescent="0.25">
      <c r="A197" t="s">
        <v>158</v>
      </c>
      <c r="B197" t="s">
        <v>134</v>
      </c>
      <c r="C197" t="s">
        <v>135</v>
      </c>
    </row>
    <row r="198" spans="1:3" x14ac:dyDescent="0.25">
      <c r="A198" t="s">
        <v>158</v>
      </c>
      <c r="B198" t="s">
        <v>134</v>
      </c>
      <c r="C198" t="s">
        <v>136</v>
      </c>
    </row>
    <row r="199" spans="1:3" x14ac:dyDescent="0.25">
      <c r="A199" t="s">
        <v>158</v>
      </c>
      <c r="B199" t="s">
        <v>134</v>
      </c>
      <c r="C199" t="s">
        <v>137</v>
      </c>
    </row>
    <row r="200" spans="1:3" x14ac:dyDescent="0.25">
      <c r="A200" t="s">
        <v>158</v>
      </c>
      <c r="B200" t="s">
        <v>134</v>
      </c>
      <c r="C200" t="s">
        <v>138</v>
      </c>
    </row>
    <row r="201" spans="1:3" x14ac:dyDescent="0.25">
      <c r="A201" t="s">
        <v>158</v>
      </c>
      <c r="B201" t="s">
        <v>134</v>
      </c>
      <c r="C201" t="s">
        <v>140</v>
      </c>
    </row>
    <row r="202" spans="1:3" x14ac:dyDescent="0.25">
      <c r="A202" t="s">
        <v>158</v>
      </c>
      <c r="B202" t="s">
        <v>134</v>
      </c>
      <c r="C202" t="s">
        <v>112</v>
      </c>
    </row>
    <row r="203" spans="1:3" x14ac:dyDescent="0.25">
      <c r="A203" t="s">
        <v>158</v>
      </c>
      <c r="B203" t="s">
        <v>134</v>
      </c>
      <c r="C203" t="s">
        <v>141</v>
      </c>
    </row>
    <row r="204" spans="1:3" x14ac:dyDescent="0.25">
      <c r="A204" t="s">
        <v>158</v>
      </c>
      <c r="B204" t="s">
        <v>134</v>
      </c>
      <c r="C204" t="s">
        <v>142</v>
      </c>
    </row>
    <row r="205" spans="1:3" x14ac:dyDescent="0.25">
      <c r="A205" t="s">
        <v>158</v>
      </c>
      <c r="B205" t="s">
        <v>134</v>
      </c>
      <c r="C205" t="s">
        <v>143</v>
      </c>
    </row>
    <row r="206" spans="1:3" x14ac:dyDescent="0.25">
      <c r="A206" t="s">
        <v>158</v>
      </c>
      <c r="B206" t="s">
        <v>134</v>
      </c>
      <c r="C206" t="s">
        <v>144</v>
      </c>
    </row>
    <row r="207" spans="1:3" x14ac:dyDescent="0.25">
      <c r="A207" t="s">
        <v>158</v>
      </c>
      <c r="B207" t="s">
        <v>134</v>
      </c>
      <c r="C207" t="s">
        <v>145</v>
      </c>
    </row>
    <row r="208" spans="1:3" x14ac:dyDescent="0.25">
      <c r="A208" t="s">
        <v>158</v>
      </c>
      <c r="B208" t="s">
        <v>134</v>
      </c>
      <c r="C208" t="s">
        <v>146</v>
      </c>
    </row>
    <row r="209" spans="1:3" x14ac:dyDescent="0.25">
      <c r="A209" t="s">
        <v>158</v>
      </c>
      <c r="B209" t="s">
        <v>134</v>
      </c>
      <c r="C209" t="s">
        <v>147</v>
      </c>
    </row>
    <row r="210" spans="1:3" x14ac:dyDescent="0.25">
      <c r="A210" t="s">
        <v>158</v>
      </c>
      <c r="B210" t="s">
        <v>134</v>
      </c>
      <c r="C210" t="s">
        <v>148</v>
      </c>
    </row>
    <row r="211" spans="1:3" x14ac:dyDescent="0.25">
      <c r="A211" t="s">
        <v>159</v>
      </c>
      <c r="B211" t="s">
        <v>45</v>
      </c>
      <c r="C211" t="s">
        <v>43</v>
      </c>
    </row>
    <row r="212" spans="1:3" x14ac:dyDescent="0.25">
      <c r="A212" t="s">
        <v>159</v>
      </c>
      <c r="B212" t="s">
        <v>47</v>
      </c>
      <c r="C212" t="s">
        <v>46</v>
      </c>
    </row>
    <row r="213" spans="1:3" x14ac:dyDescent="0.25">
      <c r="A213" t="s">
        <v>159</v>
      </c>
      <c r="B213" t="s">
        <v>47</v>
      </c>
      <c r="C213" t="s">
        <v>48</v>
      </c>
    </row>
    <row r="214" spans="1:3" x14ac:dyDescent="0.25">
      <c r="A214" t="s">
        <v>159</v>
      </c>
      <c r="B214" t="s">
        <v>47</v>
      </c>
      <c r="C214" t="s">
        <v>49</v>
      </c>
    </row>
    <row r="215" spans="1:3" x14ac:dyDescent="0.25">
      <c r="A215" t="s">
        <v>159</v>
      </c>
      <c r="B215" t="s">
        <v>47</v>
      </c>
      <c r="C215" t="s">
        <v>50</v>
      </c>
    </row>
    <row r="216" spans="1:3" x14ac:dyDescent="0.25">
      <c r="A216" t="s">
        <v>159</v>
      </c>
      <c r="B216" t="s">
        <v>53</v>
      </c>
      <c r="C216" t="s">
        <v>51</v>
      </c>
    </row>
    <row r="217" spans="1:3" x14ac:dyDescent="0.25">
      <c r="A217" t="s">
        <v>159</v>
      </c>
      <c r="B217" t="s">
        <v>53</v>
      </c>
      <c r="C217" t="s">
        <v>54</v>
      </c>
    </row>
    <row r="218" spans="1:3" x14ac:dyDescent="0.25">
      <c r="A218" t="s">
        <v>159</v>
      </c>
      <c r="B218" t="s">
        <v>57</v>
      </c>
      <c r="C218" t="s">
        <v>56</v>
      </c>
    </row>
    <row r="219" spans="1:3" x14ac:dyDescent="0.25">
      <c r="A219" t="s">
        <v>159</v>
      </c>
      <c r="B219" t="s">
        <v>57</v>
      </c>
      <c r="C219" t="s">
        <v>58</v>
      </c>
    </row>
    <row r="220" spans="1:3" x14ac:dyDescent="0.25">
      <c r="A220" t="s">
        <v>159</v>
      </c>
      <c r="B220" t="s">
        <v>57</v>
      </c>
      <c r="C220" t="s">
        <v>59</v>
      </c>
    </row>
    <row r="221" spans="1:3" x14ac:dyDescent="0.25">
      <c r="A221" t="s">
        <v>159</v>
      </c>
      <c r="B221" t="s">
        <v>53</v>
      </c>
      <c r="C221" t="s">
        <v>61</v>
      </c>
    </row>
    <row r="222" spans="1:3" x14ac:dyDescent="0.25">
      <c r="A222" t="s">
        <v>159</v>
      </c>
      <c r="B222" t="s">
        <v>53</v>
      </c>
      <c r="C222" t="s">
        <v>62</v>
      </c>
    </row>
    <row r="223" spans="1:3" x14ac:dyDescent="0.25">
      <c r="A223" t="s">
        <v>159</v>
      </c>
      <c r="B223" t="s">
        <v>57</v>
      </c>
      <c r="C223" t="s">
        <v>63</v>
      </c>
    </row>
    <row r="224" spans="1:3" x14ac:dyDescent="0.25">
      <c r="A224" t="s">
        <v>159</v>
      </c>
      <c r="B224" t="s">
        <v>53</v>
      </c>
      <c r="C224" t="s">
        <v>64</v>
      </c>
    </row>
    <row r="225" spans="1:3" x14ac:dyDescent="0.25">
      <c r="A225" t="s">
        <v>159</v>
      </c>
      <c r="B225" t="s">
        <v>53</v>
      </c>
      <c r="C225" t="s">
        <v>65</v>
      </c>
    </row>
    <row r="226" spans="1:3" x14ac:dyDescent="0.25">
      <c r="A226" t="s">
        <v>159</v>
      </c>
      <c r="B226" t="s">
        <v>53</v>
      </c>
      <c r="C226" t="s">
        <v>66</v>
      </c>
    </row>
    <row r="227" spans="1:3" x14ac:dyDescent="0.25">
      <c r="A227" t="s">
        <v>159</v>
      </c>
      <c r="B227" t="s">
        <v>53</v>
      </c>
      <c r="C227" t="s">
        <v>67</v>
      </c>
    </row>
    <row r="228" spans="1:3" x14ac:dyDescent="0.25">
      <c r="A228" t="s">
        <v>159</v>
      </c>
      <c r="B228" t="s">
        <v>53</v>
      </c>
      <c r="C228" t="s">
        <v>68</v>
      </c>
    </row>
    <row r="229" spans="1:3" x14ac:dyDescent="0.25">
      <c r="A229" t="s">
        <v>159</v>
      </c>
      <c r="B229" t="s">
        <v>53</v>
      </c>
      <c r="C229" t="s">
        <v>69</v>
      </c>
    </row>
    <row r="230" spans="1:3" x14ac:dyDescent="0.25">
      <c r="A230" t="s">
        <v>159</v>
      </c>
      <c r="B230" t="s">
        <v>72</v>
      </c>
      <c r="C230" t="s">
        <v>70</v>
      </c>
    </row>
    <row r="231" spans="1:3" x14ac:dyDescent="0.25">
      <c r="A231" t="s">
        <v>159</v>
      </c>
      <c r="B231" t="s">
        <v>72</v>
      </c>
      <c r="C231" t="s">
        <v>73</v>
      </c>
    </row>
    <row r="232" spans="1:3" x14ac:dyDescent="0.25">
      <c r="A232" t="s">
        <v>159</v>
      </c>
      <c r="B232" t="s">
        <v>72</v>
      </c>
      <c r="C232" t="s">
        <v>74</v>
      </c>
    </row>
    <row r="233" spans="1:3" x14ac:dyDescent="0.25">
      <c r="A233" t="s">
        <v>159</v>
      </c>
      <c r="B233" t="s">
        <v>72</v>
      </c>
      <c r="C233" t="s">
        <v>75</v>
      </c>
    </row>
    <row r="234" spans="1:3" x14ac:dyDescent="0.25">
      <c r="A234" t="s">
        <v>159</v>
      </c>
      <c r="B234" t="s">
        <v>72</v>
      </c>
      <c r="C234" t="s">
        <v>76</v>
      </c>
    </row>
    <row r="235" spans="1:3" x14ac:dyDescent="0.25">
      <c r="A235" t="s">
        <v>159</v>
      </c>
      <c r="B235" t="s">
        <v>57</v>
      </c>
      <c r="C235" t="s">
        <v>77</v>
      </c>
    </row>
    <row r="236" spans="1:3" x14ac:dyDescent="0.25">
      <c r="A236" t="s">
        <v>159</v>
      </c>
      <c r="B236" t="s">
        <v>57</v>
      </c>
      <c r="C236" t="s">
        <v>78</v>
      </c>
    </row>
    <row r="237" spans="1:3" x14ac:dyDescent="0.25">
      <c r="A237" t="s">
        <v>159</v>
      </c>
      <c r="B237" t="s">
        <v>57</v>
      </c>
      <c r="C237" t="s">
        <v>79</v>
      </c>
    </row>
    <row r="238" spans="1:3" x14ac:dyDescent="0.25">
      <c r="A238" t="s">
        <v>159</v>
      </c>
      <c r="B238" t="s">
        <v>57</v>
      </c>
      <c r="C238" t="s">
        <v>80</v>
      </c>
    </row>
    <row r="239" spans="1:3" x14ac:dyDescent="0.25">
      <c r="A239" t="s">
        <v>159</v>
      </c>
      <c r="B239" t="s">
        <v>57</v>
      </c>
      <c r="C239" t="s">
        <v>81</v>
      </c>
    </row>
    <row r="240" spans="1:3" x14ac:dyDescent="0.25">
      <c r="A240" t="s">
        <v>159</v>
      </c>
      <c r="B240" t="s">
        <v>57</v>
      </c>
      <c r="C240" t="s">
        <v>82</v>
      </c>
    </row>
    <row r="241" spans="1:3" x14ac:dyDescent="0.25">
      <c r="A241" t="s">
        <v>159</v>
      </c>
      <c r="B241" t="s">
        <v>57</v>
      </c>
      <c r="C241" t="s">
        <v>83</v>
      </c>
    </row>
    <row r="242" spans="1:3" x14ac:dyDescent="0.25">
      <c r="A242" t="s">
        <v>159</v>
      </c>
      <c r="B242" t="s">
        <v>57</v>
      </c>
      <c r="C242" t="s">
        <v>84</v>
      </c>
    </row>
    <row r="243" spans="1:3" x14ac:dyDescent="0.25">
      <c r="A243" t="s">
        <v>159</v>
      </c>
      <c r="B243" t="s">
        <v>57</v>
      </c>
      <c r="C243" t="s">
        <v>85</v>
      </c>
    </row>
    <row r="244" spans="1:3" x14ac:dyDescent="0.25">
      <c r="A244" t="s">
        <v>159</v>
      </c>
      <c r="B244" t="s">
        <v>57</v>
      </c>
      <c r="C244" t="s">
        <v>86</v>
      </c>
    </row>
    <row r="245" spans="1:3" x14ac:dyDescent="0.25">
      <c r="A245" t="s">
        <v>159</v>
      </c>
      <c r="B245" t="s">
        <v>88</v>
      </c>
      <c r="C245" t="s">
        <v>87</v>
      </c>
    </row>
    <row r="246" spans="1:3" x14ac:dyDescent="0.25">
      <c r="A246" t="s">
        <v>159</v>
      </c>
      <c r="B246" t="s">
        <v>88</v>
      </c>
      <c r="C246" t="s">
        <v>89</v>
      </c>
    </row>
    <row r="247" spans="1:3" x14ac:dyDescent="0.25">
      <c r="A247" t="s">
        <v>159</v>
      </c>
      <c r="B247" t="s">
        <v>88</v>
      </c>
      <c r="C247" t="s">
        <v>90</v>
      </c>
    </row>
    <row r="248" spans="1:3" x14ac:dyDescent="0.25">
      <c r="A248" t="s">
        <v>159</v>
      </c>
      <c r="B248" t="s">
        <v>88</v>
      </c>
      <c r="C248" t="s">
        <v>91</v>
      </c>
    </row>
    <row r="249" spans="1:3" x14ac:dyDescent="0.25">
      <c r="A249" t="s">
        <v>159</v>
      </c>
      <c r="B249" t="s">
        <v>88</v>
      </c>
      <c r="C249" t="s">
        <v>92</v>
      </c>
    </row>
    <row r="250" spans="1:3" x14ac:dyDescent="0.25">
      <c r="A250" t="s">
        <v>159</v>
      </c>
      <c r="B250" t="s">
        <v>88</v>
      </c>
      <c r="C250" t="s">
        <v>93</v>
      </c>
    </row>
    <row r="251" spans="1:3" x14ac:dyDescent="0.25">
      <c r="A251" t="s">
        <v>159</v>
      </c>
      <c r="B251" t="s">
        <v>88</v>
      </c>
      <c r="C251" t="s">
        <v>94</v>
      </c>
    </row>
    <row r="252" spans="1:3" x14ac:dyDescent="0.25">
      <c r="A252" t="s">
        <v>159</v>
      </c>
      <c r="B252" t="s">
        <v>88</v>
      </c>
      <c r="C252" t="s">
        <v>95</v>
      </c>
    </row>
    <row r="253" spans="1:3" x14ac:dyDescent="0.25">
      <c r="A253" t="s">
        <v>159</v>
      </c>
      <c r="B253" t="s">
        <v>88</v>
      </c>
      <c r="C253" t="s">
        <v>96</v>
      </c>
    </row>
    <row r="254" spans="1:3" x14ac:dyDescent="0.25">
      <c r="A254" t="s">
        <v>159</v>
      </c>
      <c r="B254" t="s">
        <v>88</v>
      </c>
      <c r="C254" t="s">
        <v>97</v>
      </c>
    </row>
    <row r="255" spans="1:3" x14ac:dyDescent="0.25">
      <c r="A255" t="s">
        <v>159</v>
      </c>
      <c r="B255" t="s">
        <v>88</v>
      </c>
      <c r="C255" t="s">
        <v>98</v>
      </c>
    </row>
    <row r="256" spans="1:3" x14ac:dyDescent="0.25">
      <c r="A256" t="s">
        <v>159</v>
      </c>
      <c r="B256" t="s">
        <v>88</v>
      </c>
      <c r="C256" t="s">
        <v>99</v>
      </c>
    </row>
    <row r="257" spans="1:3" x14ac:dyDescent="0.25">
      <c r="A257" t="s">
        <v>159</v>
      </c>
      <c r="B257" t="s">
        <v>88</v>
      </c>
      <c r="C257" t="s">
        <v>100</v>
      </c>
    </row>
    <row r="258" spans="1:3" x14ac:dyDescent="0.25">
      <c r="A258" t="s">
        <v>159</v>
      </c>
      <c r="B258" t="s">
        <v>88</v>
      </c>
      <c r="C258" t="s">
        <v>101</v>
      </c>
    </row>
    <row r="259" spans="1:3" x14ac:dyDescent="0.25">
      <c r="A259" t="s">
        <v>159</v>
      </c>
      <c r="B259" t="s">
        <v>88</v>
      </c>
      <c r="C259" t="s">
        <v>102</v>
      </c>
    </row>
    <row r="260" spans="1:3" x14ac:dyDescent="0.25">
      <c r="A260" t="s">
        <v>159</v>
      </c>
      <c r="B260" t="s">
        <v>88</v>
      </c>
      <c r="C260" t="s">
        <v>103</v>
      </c>
    </row>
    <row r="261" spans="1:3" x14ac:dyDescent="0.25">
      <c r="A261" t="s">
        <v>159</v>
      </c>
      <c r="B261" t="s">
        <v>88</v>
      </c>
      <c r="C261" t="s">
        <v>104</v>
      </c>
    </row>
    <row r="262" spans="1:3" x14ac:dyDescent="0.25">
      <c r="A262" t="s">
        <v>159</v>
      </c>
      <c r="B262" t="s">
        <v>88</v>
      </c>
      <c r="C262" t="s">
        <v>105</v>
      </c>
    </row>
    <row r="263" spans="1:3" x14ac:dyDescent="0.25">
      <c r="A263" t="s">
        <v>159</v>
      </c>
      <c r="B263" t="s">
        <v>88</v>
      </c>
      <c r="C263" t="s">
        <v>106</v>
      </c>
    </row>
    <row r="264" spans="1:3" x14ac:dyDescent="0.25">
      <c r="A264" t="s">
        <v>159</v>
      </c>
      <c r="B264" t="s">
        <v>88</v>
      </c>
      <c r="C264" t="s">
        <v>107</v>
      </c>
    </row>
    <row r="265" spans="1:3" x14ac:dyDescent="0.25">
      <c r="A265" t="s">
        <v>159</v>
      </c>
      <c r="B265" t="s">
        <v>88</v>
      </c>
      <c r="C265" t="s">
        <v>108</v>
      </c>
    </row>
    <row r="266" spans="1:3" x14ac:dyDescent="0.25">
      <c r="A266" t="s">
        <v>159</v>
      </c>
      <c r="B266" t="s">
        <v>88</v>
      </c>
      <c r="C266" t="s">
        <v>109</v>
      </c>
    </row>
    <row r="267" spans="1:3" x14ac:dyDescent="0.25">
      <c r="A267" t="s">
        <v>159</v>
      </c>
      <c r="B267" t="s">
        <v>88</v>
      </c>
      <c r="C267" t="s">
        <v>110</v>
      </c>
    </row>
    <row r="268" spans="1:3" x14ac:dyDescent="0.25">
      <c r="A268" t="s">
        <v>159</v>
      </c>
      <c r="B268" t="s">
        <v>53</v>
      </c>
      <c r="C268" t="s">
        <v>111</v>
      </c>
    </row>
    <row r="269" spans="1:3" x14ac:dyDescent="0.25">
      <c r="A269" t="s">
        <v>159</v>
      </c>
      <c r="B269" t="s">
        <v>113</v>
      </c>
      <c r="C269" t="s">
        <v>112</v>
      </c>
    </row>
    <row r="270" spans="1:3" x14ac:dyDescent="0.25">
      <c r="A270" t="s">
        <v>159</v>
      </c>
      <c r="B270" t="s">
        <v>113</v>
      </c>
      <c r="C270" t="s">
        <v>114</v>
      </c>
    </row>
    <row r="271" spans="1:3" x14ac:dyDescent="0.25">
      <c r="A271" t="s">
        <v>159</v>
      </c>
      <c r="B271" t="s">
        <v>113</v>
      </c>
      <c r="C271" t="s">
        <v>115</v>
      </c>
    </row>
    <row r="272" spans="1:3" x14ac:dyDescent="0.25">
      <c r="A272" t="s">
        <v>159</v>
      </c>
      <c r="B272" t="s">
        <v>113</v>
      </c>
      <c r="C272" t="s">
        <v>116</v>
      </c>
    </row>
    <row r="273" spans="1:3" x14ac:dyDescent="0.25">
      <c r="A273" t="s">
        <v>159</v>
      </c>
      <c r="B273" t="s">
        <v>113</v>
      </c>
      <c r="C273" t="s">
        <v>117</v>
      </c>
    </row>
    <row r="274" spans="1:3" x14ac:dyDescent="0.25">
      <c r="A274" t="s">
        <v>159</v>
      </c>
      <c r="B274" t="s">
        <v>113</v>
      </c>
      <c r="C274" t="s">
        <v>118</v>
      </c>
    </row>
    <row r="275" spans="1:3" x14ac:dyDescent="0.25">
      <c r="A275" t="s">
        <v>159</v>
      </c>
      <c r="B275" t="s">
        <v>113</v>
      </c>
      <c r="C275" t="s">
        <v>119</v>
      </c>
    </row>
    <row r="276" spans="1:3" x14ac:dyDescent="0.25">
      <c r="A276" t="s">
        <v>159</v>
      </c>
      <c r="B276" t="s">
        <v>113</v>
      </c>
      <c r="C276" t="s">
        <v>120</v>
      </c>
    </row>
    <row r="277" spans="1:3" x14ac:dyDescent="0.25">
      <c r="A277" t="s">
        <v>159</v>
      </c>
      <c r="B277" t="s">
        <v>121</v>
      </c>
      <c r="C277" t="s">
        <v>94</v>
      </c>
    </row>
    <row r="278" spans="1:3" x14ac:dyDescent="0.25">
      <c r="A278" t="s">
        <v>159</v>
      </c>
      <c r="B278" t="s">
        <v>121</v>
      </c>
      <c r="C278" t="s">
        <v>99</v>
      </c>
    </row>
    <row r="279" spans="1:3" x14ac:dyDescent="0.25">
      <c r="A279" t="s">
        <v>159</v>
      </c>
      <c r="B279" t="s">
        <v>121</v>
      </c>
      <c r="C279" t="s">
        <v>122</v>
      </c>
    </row>
    <row r="280" spans="1:3" x14ac:dyDescent="0.25">
      <c r="A280" t="s">
        <v>159</v>
      </c>
      <c r="B280" t="s">
        <v>121</v>
      </c>
      <c r="C280" t="s">
        <v>92</v>
      </c>
    </row>
    <row r="281" spans="1:3" x14ac:dyDescent="0.25">
      <c r="A281" t="s">
        <v>159</v>
      </c>
      <c r="B281" t="s">
        <v>121</v>
      </c>
      <c r="C281" t="s">
        <v>100</v>
      </c>
    </row>
    <row r="282" spans="1:3" x14ac:dyDescent="0.25">
      <c r="A282" t="s">
        <v>159</v>
      </c>
      <c r="B282" t="s">
        <v>121</v>
      </c>
      <c r="C282" t="s">
        <v>101</v>
      </c>
    </row>
    <row r="283" spans="1:3" x14ac:dyDescent="0.25">
      <c r="A283" t="s">
        <v>159</v>
      </c>
      <c r="B283" t="s">
        <v>121</v>
      </c>
      <c r="C283" t="s">
        <v>108</v>
      </c>
    </row>
    <row r="284" spans="1:3" x14ac:dyDescent="0.25">
      <c r="A284" t="s">
        <v>159</v>
      </c>
      <c r="B284" t="s">
        <v>121</v>
      </c>
      <c r="C284" t="s">
        <v>123</v>
      </c>
    </row>
    <row r="285" spans="1:3" x14ac:dyDescent="0.25">
      <c r="A285" t="s">
        <v>159</v>
      </c>
      <c r="B285" t="s">
        <v>121</v>
      </c>
      <c r="C285" t="s">
        <v>124</v>
      </c>
    </row>
    <row r="286" spans="1:3" x14ac:dyDescent="0.25">
      <c r="A286" t="s">
        <v>159</v>
      </c>
      <c r="B286" t="s">
        <v>121</v>
      </c>
      <c r="C286" t="s">
        <v>125</v>
      </c>
    </row>
    <row r="287" spans="1:3" x14ac:dyDescent="0.25">
      <c r="A287" t="s">
        <v>159</v>
      </c>
      <c r="B287" t="s">
        <v>121</v>
      </c>
      <c r="C287" t="s">
        <v>109</v>
      </c>
    </row>
    <row r="288" spans="1:3" x14ac:dyDescent="0.25">
      <c r="A288" t="s">
        <v>159</v>
      </c>
      <c r="B288" t="s">
        <v>121</v>
      </c>
      <c r="C288" t="s">
        <v>87</v>
      </c>
    </row>
    <row r="289" spans="1:3" x14ac:dyDescent="0.25">
      <c r="A289" t="s">
        <v>159</v>
      </c>
      <c r="B289" t="s">
        <v>121</v>
      </c>
      <c r="C289" t="s">
        <v>126</v>
      </c>
    </row>
    <row r="290" spans="1:3" x14ac:dyDescent="0.25">
      <c r="A290" t="s">
        <v>159</v>
      </c>
      <c r="B290" t="s">
        <v>121</v>
      </c>
      <c r="C290" t="s">
        <v>102</v>
      </c>
    </row>
    <row r="291" spans="1:3" x14ac:dyDescent="0.25">
      <c r="A291" t="s">
        <v>159</v>
      </c>
      <c r="B291" t="s">
        <v>121</v>
      </c>
      <c r="C291" t="s">
        <v>103</v>
      </c>
    </row>
    <row r="292" spans="1:3" x14ac:dyDescent="0.25">
      <c r="A292" t="s">
        <v>159</v>
      </c>
      <c r="B292" t="s">
        <v>121</v>
      </c>
      <c r="C292" t="s">
        <v>127</v>
      </c>
    </row>
    <row r="293" spans="1:3" x14ac:dyDescent="0.25">
      <c r="A293" t="s">
        <v>159</v>
      </c>
      <c r="B293" t="s">
        <v>121</v>
      </c>
      <c r="C293" t="s">
        <v>89</v>
      </c>
    </row>
    <row r="294" spans="1:3" x14ac:dyDescent="0.25">
      <c r="A294" t="s">
        <v>159</v>
      </c>
      <c r="B294" t="s">
        <v>121</v>
      </c>
      <c r="C294" t="s">
        <v>128</v>
      </c>
    </row>
    <row r="295" spans="1:3" x14ac:dyDescent="0.25">
      <c r="A295" t="s">
        <v>159</v>
      </c>
      <c r="B295" t="s">
        <v>121</v>
      </c>
      <c r="C295" t="s">
        <v>129</v>
      </c>
    </row>
    <row r="296" spans="1:3" x14ac:dyDescent="0.25">
      <c r="A296" t="s">
        <v>159</v>
      </c>
      <c r="B296" t="s">
        <v>121</v>
      </c>
      <c r="C296" t="s">
        <v>97</v>
      </c>
    </row>
    <row r="297" spans="1:3" x14ac:dyDescent="0.25">
      <c r="A297" t="s">
        <v>159</v>
      </c>
      <c r="B297" t="s">
        <v>121</v>
      </c>
      <c r="C297" t="s">
        <v>96</v>
      </c>
    </row>
    <row r="298" spans="1:3" x14ac:dyDescent="0.25">
      <c r="A298" t="s">
        <v>159</v>
      </c>
      <c r="B298" t="s">
        <v>45</v>
      </c>
      <c r="C298" t="s">
        <v>130</v>
      </c>
    </row>
    <row r="299" spans="1:3" x14ac:dyDescent="0.25">
      <c r="A299" t="s">
        <v>159</v>
      </c>
      <c r="B299" t="s">
        <v>45</v>
      </c>
      <c r="C299" t="s">
        <v>131</v>
      </c>
    </row>
    <row r="300" spans="1:3" x14ac:dyDescent="0.25">
      <c r="A300" t="s">
        <v>159</v>
      </c>
      <c r="B300" t="s">
        <v>45</v>
      </c>
      <c r="C300" t="s">
        <v>132</v>
      </c>
    </row>
    <row r="301" spans="1:3" x14ac:dyDescent="0.25">
      <c r="A301" t="s">
        <v>159</v>
      </c>
      <c r="B301" t="s">
        <v>134</v>
      </c>
      <c r="C301" t="s">
        <v>133</v>
      </c>
    </row>
    <row r="302" spans="1:3" x14ac:dyDescent="0.25">
      <c r="A302" t="s">
        <v>159</v>
      </c>
      <c r="B302" t="s">
        <v>134</v>
      </c>
      <c r="C302" t="s">
        <v>135</v>
      </c>
    </row>
    <row r="303" spans="1:3" x14ac:dyDescent="0.25">
      <c r="A303" t="s">
        <v>159</v>
      </c>
      <c r="B303" t="s">
        <v>134</v>
      </c>
      <c r="C303" t="s">
        <v>136</v>
      </c>
    </row>
    <row r="304" spans="1:3" x14ac:dyDescent="0.25">
      <c r="A304" t="s">
        <v>159</v>
      </c>
      <c r="B304" t="s">
        <v>134</v>
      </c>
      <c r="C304" t="s">
        <v>137</v>
      </c>
    </row>
    <row r="305" spans="1:3" x14ac:dyDescent="0.25">
      <c r="A305" t="s">
        <v>159</v>
      </c>
      <c r="B305" t="s">
        <v>134</v>
      </c>
      <c r="C305" t="s">
        <v>138</v>
      </c>
    </row>
    <row r="306" spans="1:3" x14ac:dyDescent="0.25">
      <c r="A306" t="s">
        <v>159</v>
      </c>
      <c r="B306" t="s">
        <v>134</v>
      </c>
      <c r="C306" t="s">
        <v>140</v>
      </c>
    </row>
    <row r="307" spans="1:3" x14ac:dyDescent="0.25">
      <c r="A307" t="s">
        <v>159</v>
      </c>
      <c r="B307" t="s">
        <v>134</v>
      </c>
      <c r="C307" t="s">
        <v>112</v>
      </c>
    </row>
    <row r="308" spans="1:3" x14ac:dyDescent="0.25">
      <c r="A308" t="s">
        <v>159</v>
      </c>
      <c r="B308" t="s">
        <v>134</v>
      </c>
      <c r="C308" t="s">
        <v>141</v>
      </c>
    </row>
    <row r="309" spans="1:3" x14ac:dyDescent="0.25">
      <c r="A309" t="s">
        <v>159</v>
      </c>
      <c r="B309" t="s">
        <v>134</v>
      </c>
      <c r="C309" t="s">
        <v>142</v>
      </c>
    </row>
    <row r="310" spans="1:3" x14ac:dyDescent="0.25">
      <c r="A310" t="s">
        <v>159</v>
      </c>
      <c r="B310" t="s">
        <v>134</v>
      </c>
      <c r="C310" t="s">
        <v>143</v>
      </c>
    </row>
    <row r="311" spans="1:3" x14ac:dyDescent="0.25">
      <c r="A311" t="s">
        <v>159</v>
      </c>
      <c r="B311" t="s">
        <v>134</v>
      </c>
      <c r="C311" t="s">
        <v>144</v>
      </c>
    </row>
    <row r="312" spans="1:3" x14ac:dyDescent="0.25">
      <c r="A312" t="s">
        <v>159</v>
      </c>
      <c r="B312" t="s">
        <v>134</v>
      </c>
      <c r="C312" t="s">
        <v>145</v>
      </c>
    </row>
    <row r="313" spans="1:3" x14ac:dyDescent="0.25">
      <c r="A313" t="s">
        <v>159</v>
      </c>
      <c r="B313" t="s">
        <v>134</v>
      </c>
      <c r="C313" t="s">
        <v>146</v>
      </c>
    </row>
    <row r="314" spans="1:3" x14ac:dyDescent="0.25">
      <c r="A314" t="s">
        <v>159</v>
      </c>
      <c r="B314" t="s">
        <v>134</v>
      </c>
      <c r="C314" t="s">
        <v>147</v>
      </c>
    </row>
    <row r="315" spans="1:3" x14ac:dyDescent="0.25">
      <c r="A315" t="s">
        <v>159</v>
      </c>
      <c r="B315" t="s">
        <v>134</v>
      </c>
      <c r="C315" t="s">
        <v>148</v>
      </c>
    </row>
    <row r="316" spans="1:3" x14ac:dyDescent="0.25">
      <c r="A316" t="s">
        <v>160</v>
      </c>
      <c r="B316" t="s">
        <v>45</v>
      </c>
      <c r="C316" t="s">
        <v>43</v>
      </c>
    </row>
    <row r="317" spans="1:3" x14ac:dyDescent="0.25">
      <c r="A317" t="s">
        <v>160</v>
      </c>
      <c r="B317" t="s">
        <v>47</v>
      </c>
      <c r="C317" t="s">
        <v>46</v>
      </c>
    </row>
    <row r="318" spans="1:3" x14ac:dyDescent="0.25">
      <c r="A318" t="s">
        <v>160</v>
      </c>
      <c r="B318" t="s">
        <v>47</v>
      </c>
      <c r="C318" t="s">
        <v>48</v>
      </c>
    </row>
    <row r="319" spans="1:3" x14ac:dyDescent="0.25">
      <c r="A319" t="s">
        <v>160</v>
      </c>
      <c r="B319" t="s">
        <v>47</v>
      </c>
      <c r="C319" t="s">
        <v>49</v>
      </c>
    </row>
    <row r="320" spans="1:3" x14ac:dyDescent="0.25">
      <c r="A320" t="s">
        <v>160</v>
      </c>
      <c r="B320" t="s">
        <v>47</v>
      </c>
      <c r="C320" t="s">
        <v>50</v>
      </c>
    </row>
    <row r="321" spans="1:3" x14ac:dyDescent="0.25">
      <c r="A321" t="s">
        <v>160</v>
      </c>
      <c r="B321" t="s">
        <v>53</v>
      </c>
      <c r="C321" t="s">
        <v>51</v>
      </c>
    </row>
    <row r="322" spans="1:3" x14ac:dyDescent="0.25">
      <c r="A322" t="s">
        <v>160</v>
      </c>
      <c r="B322" t="s">
        <v>53</v>
      </c>
      <c r="C322" t="s">
        <v>54</v>
      </c>
    </row>
    <row r="323" spans="1:3" x14ac:dyDescent="0.25">
      <c r="A323" t="s">
        <v>160</v>
      </c>
      <c r="B323" t="s">
        <v>57</v>
      </c>
      <c r="C323" t="s">
        <v>56</v>
      </c>
    </row>
    <row r="324" spans="1:3" x14ac:dyDescent="0.25">
      <c r="A324" t="s">
        <v>160</v>
      </c>
      <c r="B324" t="s">
        <v>57</v>
      </c>
      <c r="C324" t="s">
        <v>58</v>
      </c>
    </row>
    <row r="325" spans="1:3" x14ac:dyDescent="0.25">
      <c r="A325" t="s">
        <v>160</v>
      </c>
      <c r="B325" t="s">
        <v>57</v>
      </c>
      <c r="C325" t="s">
        <v>59</v>
      </c>
    </row>
    <row r="326" spans="1:3" x14ac:dyDescent="0.25">
      <c r="A326" t="s">
        <v>160</v>
      </c>
      <c r="B326" t="s">
        <v>53</v>
      </c>
      <c r="C326" t="s">
        <v>61</v>
      </c>
    </row>
    <row r="327" spans="1:3" x14ac:dyDescent="0.25">
      <c r="A327" t="s">
        <v>160</v>
      </c>
      <c r="B327" t="s">
        <v>53</v>
      </c>
      <c r="C327" t="s">
        <v>62</v>
      </c>
    </row>
    <row r="328" spans="1:3" x14ac:dyDescent="0.25">
      <c r="A328" t="s">
        <v>160</v>
      </c>
      <c r="B328" t="s">
        <v>57</v>
      </c>
      <c r="C328" t="s">
        <v>63</v>
      </c>
    </row>
    <row r="329" spans="1:3" x14ac:dyDescent="0.25">
      <c r="A329" t="s">
        <v>160</v>
      </c>
      <c r="B329" t="s">
        <v>53</v>
      </c>
      <c r="C329" t="s">
        <v>64</v>
      </c>
    </row>
    <row r="330" spans="1:3" x14ac:dyDescent="0.25">
      <c r="A330" t="s">
        <v>160</v>
      </c>
      <c r="B330" t="s">
        <v>53</v>
      </c>
      <c r="C330" t="s">
        <v>65</v>
      </c>
    </row>
    <row r="331" spans="1:3" x14ac:dyDescent="0.25">
      <c r="A331" t="s">
        <v>160</v>
      </c>
      <c r="B331" t="s">
        <v>53</v>
      </c>
      <c r="C331" t="s">
        <v>66</v>
      </c>
    </row>
    <row r="332" spans="1:3" x14ac:dyDescent="0.25">
      <c r="A332" t="s">
        <v>160</v>
      </c>
      <c r="B332" t="s">
        <v>53</v>
      </c>
      <c r="C332" t="s">
        <v>67</v>
      </c>
    </row>
    <row r="333" spans="1:3" x14ac:dyDescent="0.25">
      <c r="A333" t="s">
        <v>160</v>
      </c>
      <c r="B333" t="s">
        <v>53</v>
      </c>
      <c r="C333" t="s">
        <v>68</v>
      </c>
    </row>
    <row r="334" spans="1:3" x14ac:dyDescent="0.25">
      <c r="A334" t="s">
        <v>160</v>
      </c>
      <c r="B334" t="s">
        <v>53</v>
      </c>
      <c r="C334" t="s">
        <v>69</v>
      </c>
    </row>
    <row r="335" spans="1:3" x14ac:dyDescent="0.25">
      <c r="A335" t="s">
        <v>160</v>
      </c>
      <c r="B335" t="s">
        <v>72</v>
      </c>
      <c r="C335" t="s">
        <v>70</v>
      </c>
    </row>
    <row r="336" spans="1:3" x14ac:dyDescent="0.25">
      <c r="A336" t="s">
        <v>160</v>
      </c>
      <c r="B336" t="s">
        <v>72</v>
      </c>
      <c r="C336" t="s">
        <v>73</v>
      </c>
    </row>
    <row r="337" spans="1:3" x14ac:dyDescent="0.25">
      <c r="A337" t="s">
        <v>160</v>
      </c>
      <c r="B337" t="s">
        <v>72</v>
      </c>
      <c r="C337" t="s">
        <v>74</v>
      </c>
    </row>
    <row r="338" spans="1:3" x14ac:dyDescent="0.25">
      <c r="A338" t="s">
        <v>160</v>
      </c>
      <c r="B338" t="s">
        <v>72</v>
      </c>
      <c r="C338" t="s">
        <v>75</v>
      </c>
    </row>
    <row r="339" spans="1:3" x14ac:dyDescent="0.25">
      <c r="A339" t="s">
        <v>160</v>
      </c>
      <c r="B339" t="s">
        <v>72</v>
      </c>
      <c r="C339" t="s">
        <v>76</v>
      </c>
    </row>
    <row r="340" spans="1:3" x14ac:dyDescent="0.25">
      <c r="A340" t="s">
        <v>160</v>
      </c>
      <c r="B340" t="s">
        <v>57</v>
      </c>
      <c r="C340" t="s">
        <v>77</v>
      </c>
    </row>
    <row r="341" spans="1:3" x14ac:dyDescent="0.25">
      <c r="A341" t="s">
        <v>160</v>
      </c>
      <c r="B341" t="s">
        <v>57</v>
      </c>
      <c r="C341" t="s">
        <v>78</v>
      </c>
    </row>
    <row r="342" spans="1:3" x14ac:dyDescent="0.25">
      <c r="A342" t="s">
        <v>160</v>
      </c>
      <c r="B342" t="s">
        <v>57</v>
      </c>
      <c r="C342" t="s">
        <v>79</v>
      </c>
    </row>
    <row r="343" spans="1:3" x14ac:dyDescent="0.25">
      <c r="A343" t="s">
        <v>160</v>
      </c>
      <c r="B343" t="s">
        <v>57</v>
      </c>
      <c r="C343" t="s">
        <v>80</v>
      </c>
    </row>
    <row r="344" spans="1:3" x14ac:dyDescent="0.25">
      <c r="A344" t="s">
        <v>160</v>
      </c>
      <c r="B344" t="s">
        <v>57</v>
      </c>
      <c r="C344" t="s">
        <v>81</v>
      </c>
    </row>
    <row r="345" spans="1:3" x14ac:dyDescent="0.25">
      <c r="A345" t="s">
        <v>160</v>
      </c>
      <c r="B345" t="s">
        <v>57</v>
      </c>
      <c r="C345" t="s">
        <v>82</v>
      </c>
    </row>
    <row r="346" spans="1:3" x14ac:dyDescent="0.25">
      <c r="A346" t="s">
        <v>160</v>
      </c>
      <c r="B346" t="s">
        <v>57</v>
      </c>
      <c r="C346" t="s">
        <v>83</v>
      </c>
    </row>
    <row r="347" spans="1:3" x14ac:dyDescent="0.25">
      <c r="A347" t="s">
        <v>160</v>
      </c>
      <c r="B347" t="s">
        <v>57</v>
      </c>
      <c r="C347" t="s">
        <v>84</v>
      </c>
    </row>
    <row r="348" spans="1:3" x14ac:dyDescent="0.25">
      <c r="A348" t="s">
        <v>160</v>
      </c>
      <c r="B348" t="s">
        <v>57</v>
      </c>
      <c r="C348" t="s">
        <v>85</v>
      </c>
    </row>
    <row r="349" spans="1:3" x14ac:dyDescent="0.25">
      <c r="A349" t="s">
        <v>160</v>
      </c>
      <c r="B349" t="s">
        <v>57</v>
      </c>
      <c r="C349" t="s">
        <v>86</v>
      </c>
    </row>
    <row r="350" spans="1:3" x14ac:dyDescent="0.25">
      <c r="A350" t="s">
        <v>160</v>
      </c>
      <c r="B350" t="s">
        <v>88</v>
      </c>
      <c r="C350" t="s">
        <v>87</v>
      </c>
    </row>
    <row r="351" spans="1:3" x14ac:dyDescent="0.25">
      <c r="A351" t="s">
        <v>160</v>
      </c>
      <c r="B351" t="s">
        <v>88</v>
      </c>
      <c r="C351" t="s">
        <v>89</v>
      </c>
    </row>
    <row r="352" spans="1:3" x14ac:dyDescent="0.25">
      <c r="A352" t="s">
        <v>160</v>
      </c>
      <c r="B352" t="s">
        <v>88</v>
      </c>
      <c r="C352" t="s">
        <v>90</v>
      </c>
    </row>
    <row r="353" spans="1:3" x14ac:dyDescent="0.25">
      <c r="A353" t="s">
        <v>160</v>
      </c>
      <c r="B353" t="s">
        <v>88</v>
      </c>
      <c r="C353" t="s">
        <v>91</v>
      </c>
    </row>
    <row r="354" spans="1:3" x14ac:dyDescent="0.25">
      <c r="A354" t="s">
        <v>160</v>
      </c>
      <c r="B354" t="s">
        <v>88</v>
      </c>
      <c r="C354" t="s">
        <v>92</v>
      </c>
    </row>
    <row r="355" spans="1:3" x14ac:dyDescent="0.25">
      <c r="A355" t="s">
        <v>160</v>
      </c>
      <c r="B355" t="s">
        <v>88</v>
      </c>
      <c r="C355" t="s">
        <v>93</v>
      </c>
    </row>
    <row r="356" spans="1:3" x14ac:dyDescent="0.25">
      <c r="A356" t="s">
        <v>160</v>
      </c>
      <c r="B356" t="s">
        <v>88</v>
      </c>
      <c r="C356" t="s">
        <v>94</v>
      </c>
    </row>
    <row r="357" spans="1:3" x14ac:dyDescent="0.25">
      <c r="A357" t="s">
        <v>160</v>
      </c>
      <c r="B357" t="s">
        <v>88</v>
      </c>
      <c r="C357" t="s">
        <v>95</v>
      </c>
    </row>
    <row r="358" spans="1:3" x14ac:dyDescent="0.25">
      <c r="A358" t="s">
        <v>160</v>
      </c>
      <c r="B358" t="s">
        <v>88</v>
      </c>
      <c r="C358" t="s">
        <v>96</v>
      </c>
    </row>
    <row r="359" spans="1:3" x14ac:dyDescent="0.25">
      <c r="A359" t="s">
        <v>160</v>
      </c>
      <c r="B359" t="s">
        <v>88</v>
      </c>
      <c r="C359" t="s">
        <v>97</v>
      </c>
    </row>
    <row r="360" spans="1:3" x14ac:dyDescent="0.25">
      <c r="A360" t="s">
        <v>160</v>
      </c>
      <c r="B360" t="s">
        <v>88</v>
      </c>
      <c r="C360" t="s">
        <v>98</v>
      </c>
    </row>
    <row r="361" spans="1:3" x14ac:dyDescent="0.25">
      <c r="A361" t="s">
        <v>160</v>
      </c>
      <c r="B361" t="s">
        <v>88</v>
      </c>
      <c r="C361" t="s">
        <v>99</v>
      </c>
    </row>
    <row r="362" spans="1:3" x14ac:dyDescent="0.25">
      <c r="A362" t="s">
        <v>160</v>
      </c>
      <c r="B362" t="s">
        <v>88</v>
      </c>
      <c r="C362" t="s">
        <v>100</v>
      </c>
    </row>
    <row r="363" spans="1:3" x14ac:dyDescent="0.25">
      <c r="A363" t="s">
        <v>160</v>
      </c>
      <c r="B363" t="s">
        <v>88</v>
      </c>
      <c r="C363" t="s">
        <v>101</v>
      </c>
    </row>
    <row r="364" spans="1:3" x14ac:dyDescent="0.25">
      <c r="A364" t="s">
        <v>160</v>
      </c>
      <c r="B364" t="s">
        <v>88</v>
      </c>
      <c r="C364" t="s">
        <v>102</v>
      </c>
    </row>
    <row r="365" spans="1:3" x14ac:dyDescent="0.25">
      <c r="A365" t="s">
        <v>160</v>
      </c>
      <c r="B365" t="s">
        <v>88</v>
      </c>
      <c r="C365" t="s">
        <v>103</v>
      </c>
    </row>
    <row r="366" spans="1:3" x14ac:dyDescent="0.25">
      <c r="A366" t="s">
        <v>160</v>
      </c>
      <c r="B366" t="s">
        <v>88</v>
      </c>
      <c r="C366" t="s">
        <v>104</v>
      </c>
    </row>
    <row r="367" spans="1:3" x14ac:dyDescent="0.25">
      <c r="A367" t="s">
        <v>160</v>
      </c>
      <c r="B367" t="s">
        <v>88</v>
      </c>
      <c r="C367" t="s">
        <v>105</v>
      </c>
    </row>
    <row r="368" spans="1:3" x14ac:dyDescent="0.25">
      <c r="A368" t="s">
        <v>160</v>
      </c>
      <c r="B368" t="s">
        <v>88</v>
      </c>
      <c r="C368" t="s">
        <v>106</v>
      </c>
    </row>
    <row r="369" spans="1:3" x14ac:dyDescent="0.25">
      <c r="A369" t="s">
        <v>160</v>
      </c>
      <c r="B369" t="s">
        <v>88</v>
      </c>
      <c r="C369" t="s">
        <v>107</v>
      </c>
    </row>
    <row r="370" spans="1:3" x14ac:dyDescent="0.25">
      <c r="A370" t="s">
        <v>160</v>
      </c>
      <c r="B370" t="s">
        <v>88</v>
      </c>
      <c r="C370" t="s">
        <v>108</v>
      </c>
    </row>
    <row r="371" spans="1:3" x14ac:dyDescent="0.25">
      <c r="A371" t="s">
        <v>160</v>
      </c>
      <c r="B371" t="s">
        <v>88</v>
      </c>
      <c r="C371" t="s">
        <v>109</v>
      </c>
    </row>
    <row r="372" spans="1:3" x14ac:dyDescent="0.25">
      <c r="A372" t="s">
        <v>160</v>
      </c>
      <c r="B372" t="s">
        <v>88</v>
      </c>
      <c r="C372" t="s">
        <v>110</v>
      </c>
    </row>
    <row r="373" spans="1:3" x14ac:dyDescent="0.25">
      <c r="A373" t="s">
        <v>160</v>
      </c>
      <c r="B373" t="s">
        <v>53</v>
      </c>
      <c r="C373" t="s">
        <v>111</v>
      </c>
    </row>
    <row r="374" spans="1:3" x14ac:dyDescent="0.25">
      <c r="A374" t="s">
        <v>160</v>
      </c>
      <c r="B374" t="s">
        <v>113</v>
      </c>
      <c r="C374" t="s">
        <v>112</v>
      </c>
    </row>
    <row r="375" spans="1:3" x14ac:dyDescent="0.25">
      <c r="A375" t="s">
        <v>160</v>
      </c>
      <c r="B375" t="s">
        <v>113</v>
      </c>
      <c r="C375" t="s">
        <v>114</v>
      </c>
    </row>
    <row r="376" spans="1:3" x14ac:dyDescent="0.25">
      <c r="A376" t="s">
        <v>160</v>
      </c>
      <c r="B376" t="s">
        <v>113</v>
      </c>
      <c r="C376" t="s">
        <v>115</v>
      </c>
    </row>
    <row r="377" spans="1:3" x14ac:dyDescent="0.25">
      <c r="A377" t="s">
        <v>160</v>
      </c>
      <c r="B377" t="s">
        <v>113</v>
      </c>
      <c r="C377" t="s">
        <v>116</v>
      </c>
    </row>
    <row r="378" spans="1:3" x14ac:dyDescent="0.25">
      <c r="A378" t="s">
        <v>160</v>
      </c>
      <c r="B378" t="s">
        <v>113</v>
      </c>
      <c r="C378" t="s">
        <v>117</v>
      </c>
    </row>
    <row r="379" spans="1:3" x14ac:dyDescent="0.25">
      <c r="A379" t="s">
        <v>160</v>
      </c>
      <c r="B379" t="s">
        <v>113</v>
      </c>
      <c r="C379" t="s">
        <v>118</v>
      </c>
    </row>
    <row r="380" spans="1:3" x14ac:dyDescent="0.25">
      <c r="A380" t="s">
        <v>160</v>
      </c>
      <c r="B380" t="s">
        <v>113</v>
      </c>
      <c r="C380" t="s">
        <v>119</v>
      </c>
    </row>
    <row r="381" spans="1:3" x14ac:dyDescent="0.25">
      <c r="A381" t="s">
        <v>160</v>
      </c>
      <c r="B381" t="s">
        <v>113</v>
      </c>
      <c r="C381" t="s">
        <v>120</v>
      </c>
    </row>
    <row r="382" spans="1:3" x14ac:dyDescent="0.25">
      <c r="A382" t="s">
        <v>160</v>
      </c>
      <c r="B382" t="s">
        <v>121</v>
      </c>
      <c r="C382" t="s">
        <v>94</v>
      </c>
    </row>
    <row r="383" spans="1:3" x14ac:dyDescent="0.25">
      <c r="A383" t="s">
        <v>160</v>
      </c>
      <c r="B383" t="s">
        <v>121</v>
      </c>
      <c r="C383" t="s">
        <v>99</v>
      </c>
    </row>
    <row r="384" spans="1:3" x14ac:dyDescent="0.25">
      <c r="A384" t="s">
        <v>160</v>
      </c>
      <c r="B384" t="s">
        <v>121</v>
      </c>
      <c r="C384" t="s">
        <v>122</v>
      </c>
    </row>
    <row r="385" spans="1:3" x14ac:dyDescent="0.25">
      <c r="A385" t="s">
        <v>160</v>
      </c>
      <c r="B385" t="s">
        <v>121</v>
      </c>
      <c r="C385" t="s">
        <v>92</v>
      </c>
    </row>
    <row r="386" spans="1:3" x14ac:dyDescent="0.25">
      <c r="A386" t="s">
        <v>160</v>
      </c>
      <c r="B386" t="s">
        <v>121</v>
      </c>
      <c r="C386" t="s">
        <v>100</v>
      </c>
    </row>
    <row r="387" spans="1:3" x14ac:dyDescent="0.25">
      <c r="A387" t="s">
        <v>160</v>
      </c>
      <c r="B387" t="s">
        <v>121</v>
      </c>
      <c r="C387" t="s">
        <v>101</v>
      </c>
    </row>
    <row r="388" spans="1:3" x14ac:dyDescent="0.25">
      <c r="A388" t="s">
        <v>160</v>
      </c>
      <c r="B388" t="s">
        <v>121</v>
      </c>
      <c r="C388" t="s">
        <v>108</v>
      </c>
    </row>
    <row r="389" spans="1:3" x14ac:dyDescent="0.25">
      <c r="A389" t="s">
        <v>160</v>
      </c>
      <c r="B389" t="s">
        <v>121</v>
      </c>
      <c r="C389" t="s">
        <v>123</v>
      </c>
    </row>
    <row r="390" spans="1:3" x14ac:dyDescent="0.25">
      <c r="A390" t="s">
        <v>160</v>
      </c>
      <c r="B390" t="s">
        <v>121</v>
      </c>
      <c r="C390" t="s">
        <v>124</v>
      </c>
    </row>
    <row r="391" spans="1:3" x14ac:dyDescent="0.25">
      <c r="A391" t="s">
        <v>160</v>
      </c>
      <c r="B391" t="s">
        <v>121</v>
      </c>
      <c r="C391" t="s">
        <v>125</v>
      </c>
    </row>
    <row r="392" spans="1:3" x14ac:dyDescent="0.25">
      <c r="A392" t="s">
        <v>160</v>
      </c>
      <c r="B392" t="s">
        <v>121</v>
      </c>
      <c r="C392" t="s">
        <v>109</v>
      </c>
    </row>
    <row r="393" spans="1:3" x14ac:dyDescent="0.25">
      <c r="A393" t="s">
        <v>160</v>
      </c>
      <c r="B393" t="s">
        <v>121</v>
      </c>
      <c r="C393" t="s">
        <v>87</v>
      </c>
    </row>
    <row r="394" spans="1:3" x14ac:dyDescent="0.25">
      <c r="A394" t="s">
        <v>160</v>
      </c>
      <c r="B394" t="s">
        <v>121</v>
      </c>
      <c r="C394" t="s">
        <v>126</v>
      </c>
    </row>
    <row r="395" spans="1:3" x14ac:dyDescent="0.25">
      <c r="A395" t="s">
        <v>160</v>
      </c>
      <c r="B395" t="s">
        <v>121</v>
      </c>
      <c r="C395" t="s">
        <v>102</v>
      </c>
    </row>
    <row r="396" spans="1:3" x14ac:dyDescent="0.25">
      <c r="A396" t="s">
        <v>160</v>
      </c>
      <c r="B396" t="s">
        <v>121</v>
      </c>
      <c r="C396" t="s">
        <v>103</v>
      </c>
    </row>
    <row r="397" spans="1:3" x14ac:dyDescent="0.25">
      <c r="A397" t="s">
        <v>160</v>
      </c>
      <c r="B397" t="s">
        <v>121</v>
      </c>
      <c r="C397" t="s">
        <v>127</v>
      </c>
    </row>
    <row r="398" spans="1:3" x14ac:dyDescent="0.25">
      <c r="A398" t="s">
        <v>160</v>
      </c>
      <c r="B398" t="s">
        <v>121</v>
      </c>
      <c r="C398" t="s">
        <v>89</v>
      </c>
    </row>
    <row r="399" spans="1:3" x14ac:dyDescent="0.25">
      <c r="A399" t="s">
        <v>160</v>
      </c>
      <c r="B399" t="s">
        <v>121</v>
      </c>
      <c r="C399" t="s">
        <v>128</v>
      </c>
    </row>
    <row r="400" spans="1:3" x14ac:dyDescent="0.25">
      <c r="A400" t="s">
        <v>160</v>
      </c>
      <c r="B400" t="s">
        <v>121</v>
      </c>
      <c r="C400" t="s">
        <v>129</v>
      </c>
    </row>
    <row r="401" spans="1:3" x14ac:dyDescent="0.25">
      <c r="A401" t="s">
        <v>160</v>
      </c>
      <c r="B401" t="s">
        <v>121</v>
      </c>
      <c r="C401" t="s">
        <v>97</v>
      </c>
    </row>
    <row r="402" spans="1:3" x14ac:dyDescent="0.25">
      <c r="A402" t="s">
        <v>160</v>
      </c>
      <c r="B402" t="s">
        <v>121</v>
      </c>
      <c r="C402" t="s">
        <v>96</v>
      </c>
    </row>
    <row r="403" spans="1:3" x14ac:dyDescent="0.25">
      <c r="A403" t="s">
        <v>160</v>
      </c>
      <c r="B403" t="s">
        <v>45</v>
      </c>
      <c r="C403" t="s">
        <v>130</v>
      </c>
    </row>
    <row r="404" spans="1:3" x14ac:dyDescent="0.25">
      <c r="A404" t="s">
        <v>160</v>
      </c>
      <c r="B404" t="s">
        <v>45</v>
      </c>
      <c r="C404" t="s">
        <v>131</v>
      </c>
    </row>
    <row r="405" spans="1:3" x14ac:dyDescent="0.25">
      <c r="A405" t="s">
        <v>160</v>
      </c>
      <c r="B405" t="s">
        <v>45</v>
      </c>
      <c r="C405" t="s">
        <v>132</v>
      </c>
    </row>
    <row r="406" spans="1:3" x14ac:dyDescent="0.25">
      <c r="A406" t="s">
        <v>160</v>
      </c>
      <c r="B406" t="s">
        <v>134</v>
      </c>
      <c r="C406" t="s">
        <v>133</v>
      </c>
    </row>
    <row r="407" spans="1:3" x14ac:dyDescent="0.25">
      <c r="A407" t="s">
        <v>160</v>
      </c>
      <c r="B407" t="s">
        <v>134</v>
      </c>
      <c r="C407" t="s">
        <v>135</v>
      </c>
    </row>
    <row r="408" spans="1:3" x14ac:dyDescent="0.25">
      <c r="A408" t="s">
        <v>160</v>
      </c>
      <c r="B408" t="s">
        <v>134</v>
      </c>
      <c r="C408" t="s">
        <v>136</v>
      </c>
    </row>
    <row r="409" spans="1:3" x14ac:dyDescent="0.25">
      <c r="A409" t="s">
        <v>160</v>
      </c>
      <c r="B409" t="s">
        <v>134</v>
      </c>
      <c r="C409" t="s">
        <v>137</v>
      </c>
    </row>
    <row r="410" spans="1:3" x14ac:dyDescent="0.25">
      <c r="A410" t="s">
        <v>160</v>
      </c>
      <c r="B410" t="s">
        <v>134</v>
      </c>
      <c r="C410" t="s">
        <v>138</v>
      </c>
    </row>
    <row r="411" spans="1:3" x14ac:dyDescent="0.25">
      <c r="A411" t="s">
        <v>160</v>
      </c>
      <c r="B411" t="s">
        <v>134</v>
      </c>
      <c r="C411" t="s">
        <v>140</v>
      </c>
    </row>
    <row r="412" spans="1:3" x14ac:dyDescent="0.25">
      <c r="A412" t="s">
        <v>160</v>
      </c>
      <c r="B412" t="s">
        <v>134</v>
      </c>
      <c r="C412" t="s">
        <v>112</v>
      </c>
    </row>
    <row r="413" spans="1:3" x14ac:dyDescent="0.25">
      <c r="A413" t="s">
        <v>160</v>
      </c>
      <c r="B413" t="s">
        <v>134</v>
      </c>
      <c r="C413" t="s">
        <v>141</v>
      </c>
    </row>
    <row r="414" spans="1:3" x14ac:dyDescent="0.25">
      <c r="A414" t="s">
        <v>160</v>
      </c>
      <c r="B414" t="s">
        <v>134</v>
      </c>
      <c r="C414" t="s">
        <v>142</v>
      </c>
    </row>
    <row r="415" spans="1:3" x14ac:dyDescent="0.25">
      <c r="A415" t="s">
        <v>160</v>
      </c>
      <c r="B415" t="s">
        <v>134</v>
      </c>
      <c r="C415" t="s">
        <v>143</v>
      </c>
    </row>
    <row r="416" spans="1:3" x14ac:dyDescent="0.25">
      <c r="A416" t="s">
        <v>160</v>
      </c>
      <c r="B416" t="s">
        <v>134</v>
      </c>
      <c r="C416" t="s">
        <v>144</v>
      </c>
    </row>
    <row r="417" spans="1:3" x14ac:dyDescent="0.25">
      <c r="A417" t="s">
        <v>160</v>
      </c>
      <c r="B417" t="s">
        <v>134</v>
      </c>
      <c r="C417" t="s">
        <v>145</v>
      </c>
    </row>
    <row r="418" spans="1:3" x14ac:dyDescent="0.25">
      <c r="A418" t="s">
        <v>160</v>
      </c>
      <c r="B418" t="s">
        <v>134</v>
      </c>
      <c r="C418" t="s">
        <v>146</v>
      </c>
    </row>
    <row r="419" spans="1:3" x14ac:dyDescent="0.25">
      <c r="A419" t="s">
        <v>160</v>
      </c>
      <c r="B419" t="s">
        <v>134</v>
      </c>
      <c r="C419" t="s">
        <v>147</v>
      </c>
    </row>
    <row r="420" spans="1:3" x14ac:dyDescent="0.25">
      <c r="A420" t="s">
        <v>160</v>
      </c>
      <c r="B420" t="s">
        <v>134</v>
      </c>
      <c r="C420" t="s">
        <v>148</v>
      </c>
    </row>
    <row r="421" spans="1:3" x14ac:dyDescent="0.25">
      <c r="A421" t="s">
        <v>161</v>
      </c>
      <c r="B421" t="s">
        <v>45</v>
      </c>
      <c r="C421" t="s">
        <v>43</v>
      </c>
    </row>
    <row r="422" spans="1:3" x14ac:dyDescent="0.25">
      <c r="A422" t="s">
        <v>161</v>
      </c>
      <c r="B422" t="s">
        <v>47</v>
      </c>
      <c r="C422" t="s">
        <v>46</v>
      </c>
    </row>
    <row r="423" spans="1:3" x14ac:dyDescent="0.25">
      <c r="A423" t="s">
        <v>161</v>
      </c>
      <c r="B423" t="s">
        <v>47</v>
      </c>
      <c r="C423" t="s">
        <v>48</v>
      </c>
    </row>
    <row r="424" spans="1:3" x14ac:dyDescent="0.25">
      <c r="A424" t="s">
        <v>161</v>
      </c>
      <c r="B424" t="s">
        <v>47</v>
      </c>
      <c r="C424" t="s">
        <v>49</v>
      </c>
    </row>
    <row r="425" spans="1:3" x14ac:dyDescent="0.25">
      <c r="A425" t="s">
        <v>161</v>
      </c>
      <c r="B425" t="s">
        <v>47</v>
      </c>
      <c r="C425" t="s">
        <v>50</v>
      </c>
    </row>
    <row r="426" spans="1:3" x14ac:dyDescent="0.25">
      <c r="A426" t="s">
        <v>161</v>
      </c>
      <c r="B426" t="s">
        <v>53</v>
      </c>
      <c r="C426" t="s">
        <v>51</v>
      </c>
    </row>
    <row r="427" spans="1:3" x14ac:dyDescent="0.25">
      <c r="A427" t="s">
        <v>161</v>
      </c>
      <c r="B427" t="s">
        <v>53</v>
      </c>
      <c r="C427" t="s">
        <v>54</v>
      </c>
    </row>
    <row r="428" spans="1:3" x14ac:dyDescent="0.25">
      <c r="A428" t="s">
        <v>161</v>
      </c>
      <c r="B428" t="s">
        <v>57</v>
      </c>
      <c r="C428" t="s">
        <v>56</v>
      </c>
    </row>
    <row r="429" spans="1:3" x14ac:dyDescent="0.25">
      <c r="A429" t="s">
        <v>161</v>
      </c>
      <c r="B429" t="s">
        <v>57</v>
      </c>
      <c r="C429" t="s">
        <v>58</v>
      </c>
    </row>
    <row r="430" spans="1:3" x14ac:dyDescent="0.25">
      <c r="A430" t="s">
        <v>161</v>
      </c>
      <c r="B430" t="s">
        <v>57</v>
      </c>
      <c r="C430" t="s">
        <v>59</v>
      </c>
    </row>
    <row r="431" spans="1:3" x14ac:dyDescent="0.25">
      <c r="A431" t="s">
        <v>161</v>
      </c>
      <c r="B431" t="s">
        <v>53</v>
      </c>
      <c r="C431" t="s">
        <v>61</v>
      </c>
    </row>
    <row r="432" spans="1:3" x14ac:dyDescent="0.25">
      <c r="A432" t="s">
        <v>161</v>
      </c>
      <c r="B432" t="s">
        <v>53</v>
      </c>
      <c r="C432" t="s">
        <v>62</v>
      </c>
    </row>
    <row r="433" spans="1:3" x14ac:dyDescent="0.25">
      <c r="A433" t="s">
        <v>161</v>
      </c>
      <c r="B433" t="s">
        <v>57</v>
      </c>
      <c r="C433" t="s">
        <v>63</v>
      </c>
    </row>
    <row r="434" spans="1:3" x14ac:dyDescent="0.25">
      <c r="A434" t="s">
        <v>161</v>
      </c>
      <c r="B434" t="s">
        <v>53</v>
      </c>
      <c r="C434" t="s">
        <v>64</v>
      </c>
    </row>
    <row r="435" spans="1:3" x14ac:dyDescent="0.25">
      <c r="A435" t="s">
        <v>161</v>
      </c>
      <c r="B435" t="s">
        <v>53</v>
      </c>
      <c r="C435" t="s">
        <v>65</v>
      </c>
    </row>
    <row r="436" spans="1:3" x14ac:dyDescent="0.25">
      <c r="A436" t="s">
        <v>161</v>
      </c>
      <c r="B436" t="s">
        <v>53</v>
      </c>
      <c r="C436" t="s">
        <v>66</v>
      </c>
    </row>
    <row r="437" spans="1:3" x14ac:dyDescent="0.25">
      <c r="A437" t="s">
        <v>161</v>
      </c>
      <c r="B437" t="s">
        <v>53</v>
      </c>
      <c r="C437" t="s">
        <v>67</v>
      </c>
    </row>
    <row r="438" spans="1:3" x14ac:dyDescent="0.25">
      <c r="A438" t="s">
        <v>161</v>
      </c>
      <c r="B438" t="s">
        <v>53</v>
      </c>
      <c r="C438" t="s">
        <v>68</v>
      </c>
    </row>
    <row r="439" spans="1:3" x14ac:dyDescent="0.25">
      <c r="A439" t="s">
        <v>161</v>
      </c>
      <c r="B439" t="s">
        <v>53</v>
      </c>
      <c r="C439" t="s">
        <v>69</v>
      </c>
    </row>
    <row r="440" spans="1:3" x14ac:dyDescent="0.25">
      <c r="A440" t="s">
        <v>161</v>
      </c>
      <c r="B440" t="s">
        <v>72</v>
      </c>
      <c r="C440" t="s">
        <v>70</v>
      </c>
    </row>
    <row r="441" spans="1:3" x14ac:dyDescent="0.25">
      <c r="A441" t="s">
        <v>161</v>
      </c>
      <c r="B441" t="s">
        <v>72</v>
      </c>
      <c r="C441" t="s">
        <v>73</v>
      </c>
    </row>
    <row r="442" spans="1:3" x14ac:dyDescent="0.25">
      <c r="A442" t="s">
        <v>161</v>
      </c>
      <c r="B442" t="s">
        <v>72</v>
      </c>
      <c r="C442" t="s">
        <v>74</v>
      </c>
    </row>
    <row r="443" spans="1:3" x14ac:dyDescent="0.25">
      <c r="A443" t="s">
        <v>161</v>
      </c>
      <c r="B443" t="s">
        <v>72</v>
      </c>
      <c r="C443" t="s">
        <v>75</v>
      </c>
    </row>
    <row r="444" spans="1:3" x14ac:dyDescent="0.25">
      <c r="A444" t="s">
        <v>161</v>
      </c>
      <c r="B444" t="s">
        <v>72</v>
      </c>
      <c r="C444" t="s">
        <v>76</v>
      </c>
    </row>
    <row r="445" spans="1:3" x14ac:dyDescent="0.25">
      <c r="A445" t="s">
        <v>161</v>
      </c>
      <c r="B445" t="s">
        <v>57</v>
      </c>
      <c r="C445" t="s">
        <v>77</v>
      </c>
    </row>
    <row r="446" spans="1:3" x14ac:dyDescent="0.25">
      <c r="A446" t="s">
        <v>161</v>
      </c>
      <c r="B446" t="s">
        <v>57</v>
      </c>
      <c r="C446" t="s">
        <v>78</v>
      </c>
    </row>
    <row r="447" spans="1:3" x14ac:dyDescent="0.25">
      <c r="A447" t="s">
        <v>161</v>
      </c>
      <c r="B447" t="s">
        <v>57</v>
      </c>
      <c r="C447" t="s">
        <v>79</v>
      </c>
    </row>
    <row r="448" spans="1:3" x14ac:dyDescent="0.25">
      <c r="A448" t="s">
        <v>161</v>
      </c>
      <c r="B448" t="s">
        <v>57</v>
      </c>
      <c r="C448" t="s">
        <v>80</v>
      </c>
    </row>
    <row r="449" spans="1:3" x14ac:dyDescent="0.25">
      <c r="A449" t="s">
        <v>161</v>
      </c>
      <c r="B449" t="s">
        <v>57</v>
      </c>
      <c r="C449" t="s">
        <v>81</v>
      </c>
    </row>
    <row r="450" spans="1:3" x14ac:dyDescent="0.25">
      <c r="A450" t="s">
        <v>161</v>
      </c>
      <c r="B450" t="s">
        <v>57</v>
      </c>
      <c r="C450" t="s">
        <v>82</v>
      </c>
    </row>
    <row r="451" spans="1:3" x14ac:dyDescent="0.25">
      <c r="A451" t="s">
        <v>161</v>
      </c>
      <c r="B451" t="s">
        <v>57</v>
      </c>
      <c r="C451" t="s">
        <v>83</v>
      </c>
    </row>
    <row r="452" spans="1:3" x14ac:dyDescent="0.25">
      <c r="A452" t="s">
        <v>161</v>
      </c>
      <c r="B452" t="s">
        <v>57</v>
      </c>
      <c r="C452" t="s">
        <v>84</v>
      </c>
    </row>
    <row r="453" spans="1:3" x14ac:dyDescent="0.25">
      <c r="A453" t="s">
        <v>161</v>
      </c>
      <c r="B453" t="s">
        <v>57</v>
      </c>
      <c r="C453" t="s">
        <v>85</v>
      </c>
    </row>
    <row r="454" spans="1:3" x14ac:dyDescent="0.25">
      <c r="A454" t="s">
        <v>161</v>
      </c>
      <c r="B454" t="s">
        <v>57</v>
      </c>
      <c r="C454" t="s">
        <v>86</v>
      </c>
    </row>
    <row r="455" spans="1:3" x14ac:dyDescent="0.25">
      <c r="A455" t="s">
        <v>161</v>
      </c>
      <c r="B455" t="s">
        <v>88</v>
      </c>
      <c r="C455" t="s">
        <v>87</v>
      </c>
    </row>
    <row r="456" spans="1:3" x14ac:dyDescent="0.25">
      <c r="A456" t="s">
        <v>161</v>
      </c>
      <c r="B456" t="s">
        <v>88</v>
      </c>
      <c r="C456" t="s">
        <v>89</v>
      </c>
    </row>
    <row r="457" spans="1:3" x14ac:dyDescent="0.25">
      <c r="A457" t="s">
        <v>161</v>
      </c>
      <c r="B457" t="s">
        <v>88</v>
      </c>
      <c r="C457" t="s">
        <v>90</v>
      </c>
    </row>
    <row r="458" spans="1:3" x14ac:dyDescent="0.25">
      <c r="A458" t="s">
        <v>161</v>
      </c>
      <c r="B458" t="s">
        <v>88</v>
      </c>
      <c r="C458" t="s">
        <v>91</v>
      </c>
    </row>
    <row r="459" spans="1:3" x14ac:dyDescent="0.25">
      <c r="A459" t="s">
        <v>161</v>
      </c>
      <c r="B459" t="s">
        <v>88</v>
      </c>
      <c r="C459" t="s">
        <v>92</v>
      </c>
    </row>
    <row r="460" spans="1:3" x14ac:dyDescent="0.25">
      <c r="A460" t="s">
        <v>161</v>
      </c>
      <c r="B460" t="s">
        <v>88</v>
      </c>
      <c r="C460" t="s">
        <v>93</v>
      </c>
    </row>
    <row r="461" spans="1:3" x14ac:dyDescent="0.25">
      <c r="A461" t="s">
        <v>161</v>
      </c>
      <c r="B461" t="s">
        <v>88</v>
      </c>
      <c r="C461" t="s">
        <v>94</v>
      </c>
    </row>
    <row r="462" spans="1:3" x14ac:dyDescent="0.25">
      <c r="A462" t="s">
        <v>161</v>
      </c>
      <c r="B462" t="s">
        <v>88</v>
      </c>
      <c r="C462" t="s">
        <v>95</v>
      </c>
    </row>
    <row r="463" spans="1:3" x14ac:dyDescent="0.25">
      <c r="A463" t="s">
        <v>161</v>
      </c>
      <c r="B463" t="s">
        <v>88</v>
      </c>
      <c r="C463" t="s">
        <v>96</v>
      </c>
    </row>
    <row r="464" spans="1:3" x14ac:dyDescent="0.25">
      <c r="A464" t="s">
        <v>161</v>
      </c>
      <c r="B464" t="s">
        <v>88</v>
      </c>
      <c r="C464" t="s">
        <v>97</v>
      </c>
    </row>
    <row r="465" spans="1:3" x14ac:dyDescent="0.25">
      <c r="A465" t="s">
        <v>161</v>
      </c>
      <c r="B465" t="s">
        <v>88</v>
      </c>
      <c r="C465" t="s">
        <v>98</v>
      </c>
    </row>
    <row r="466" spans="1:3" x14ac:dyDescent="0.25">
      <c r="A466" t="s">
        <v>161</v>
      </c>
      <c r="B466" t="s">
        <v>88</v>
      </c>
      <c r="C466" t="s">
        <v>99</v>
      </c>
    </row>
    <row r="467" spans="1:3" x14ac:dyDescent="0.25">
      <c r="A467" t="s">
        <v>161</v>
      </c>
      <c r="B467" t="s">
        <v>88</v>
      </c>
      <c r="C467" t="s">
        <v>100</v>
      </c>
    </row>
    <row r="468" spans="1:3" x14ac:dyDescent="0.25">
      <c r="A468" t="s">
        <v>161</v>
      </c>
      <c r="B468" t="s">
        <v>88</v>
      </c>
      <c r="C468" t="s">
        <v>101</v>
      </c>
    </row>
    <row r="469" spans="1:3" x14ac:dyDescent="0.25">
      <c r="A469" t="s">
        <v>161</v>
      </c>
      <c r="B469" t="s">
        <v>88</v>
      </c>
      <c r="C469" t="s">
        <v>102</v>
      </c>
    </row>
    <row r="470" spans="1:3" x14ac:dyDescent="0.25">
      <c r="A470" t="s">
        <v>161</v>
      </c>
      <c r="B470" t="s">
        <v>88</v>
      </c>
      <c r="C470" t="s">
        <v>103</v>
      </c>
    </row>
    <row r="471" spans="1:3" x14ac:dyDescent="0.25">
      <c r="A471" t="s">
        <v>161</v>
      </c>
      <c r="B471" t="s">
        <v>88</v>
      </c>
      <c r="C471" t="s">
        <v>104</v>
      </c>
    </row>
    <row r="472" spans="1:3" x14ac:dyDescent="0.25">
      <c r="A472" t="s">
        <v>161</v>
      </c>
      <c r="B472" t="s">
        <v>88</v>
      </c>
      <c r="C472" t="s">
        <v>105</v>
      </c>
    </row>
    <row r="473" spans="1:3" x14ac:dyDescent="0.25">
      <c r="A473" t="s">
        <v>161</v>
      </c>
      <c r="B473" t="s">
        <v>88</v>
      </c>
      <c r="C473" t="s">
        <v>106</v>
      </c>
    </row>
    <row r="474" spans="1:3" x14ac:dyDescent="0.25">
      <c r="A474" t="s">
        <v>161</v>
      </c>
      <c r="B474" t="s">
        <v>88</v>
      </c>
      <c r="C474" t="s">
        <v>107</v>
      </c>
    </row>
    <row r="475" spans="1:3" x14ac:dyDescent="0.25">
      <c r="A475" t="s">
        <v>161</v>
      </c>
      <c r="B475" t="s">
        <v>88</v>
      </c>
      <c r="C475" t="s">
        <v>108</v>
      </c>
    </row>
    <row r="476" spans="1:3" x14ac:dyDescent="0.25">
      <c r="A476" t="s">
        <v>161</v>
      </c>
      <c r="B476" t="s">
        <v>88</v>
      </c>
      <c r="C476" t="s">
        <v>109</v>
      </c>
    </row>
    <row r="477" spans="1:3" x14ac:dyDescent="0.25">
      <c r="A477" t="s">
        <v>161</v>
      </c>
      <c r="B477" t="s">
        <v>88</v>
      </c>
      <c r="C477" t="s">
        <v>110</v>
      </c>
    </row>
    <row r="478" spans="1:3" x14ac:dyDescent="0.25">
      <c r="A478" t="s">
        <v>161</v>
      </c>
      <c r="B478" t="s">
        <v>53</v>
      </c>
      <c r="C478" t="s">
        <v>111</v>
      </c>
    </row>
    <row r="479" spans="1:3" x14ac:dyDescent="0.25">
      <c r="A479" t="s">
        <v>161</v>
      </c>
      <c r="B479" t="s">
        <v>113</v>
      </c>
      <c r="C479" t="s">
        <v>112</v>
      </c>
    </row>
    <row r="480" spans="1:3" x14ac:dyDescent="0.25">
      <c r="A480" t="s">
        <v>161</v>
      </c>
      <c r="B480" t="s">
        <v>113</v>
      </c>
      <c r="C480" t="s">
        <v>114</v>
      </c>
    </row>
    <row r="481" spans="1:3" x14ac:dyDescent="0.25">
      <c r="A481" t="s">
        <v>161</v>
      </c>
      <c r="B481" t="s">
        <v>113</v>
      </c>
      <c r="C481" t="s">
        <v>115</v>
      </c>
    </row>
    <row r="482" spans="1:3" x14ac:dyDescent="0.25">
      <c r="A482" t="s">
        <v>161</v>
      </c>
      <c r="B482" t="s">
        <v>113</v>
      </c>
      <c r="C482" t="s">
        <v>116</v>
      </c>
    </row>
    <row r="483" spans="1:3" x14ac:dyDescent="0.25">
      <c r="A483" t="s">
        <v>161</v>
      </c>
      <c r="B483" t="s">
        <v>113</v>
      </c>
      <c r="C483" t="s">
        <v>117</v>
      </c>
    </row>
    <row r="484" spans="1:3" x14ac:dyDescent="0.25">
      <c r="A484" t="s">
        <v>161</v>
      </c>
      <c r="B484" t="s">
        <v>113</v>
      </c>
      <c r="C484" t="s">
        <v>118</v>
      </c>
    </row>
    <row r="485" spans="1:3" x14ac:dyDescent="0.25">
      <c r="A485" t="s">
        <v>161</v>
      </c>
      <c r="B485" t="s">
        <v>113</v>
      </c>
      <c r="C485" t="s">
        <v>119</v>
      </c>
    </row>
    <row r="486" spans="1:3" x14ac:dyDescent="0.25">
      <c r="A486" t="s">
        <v>161</v>
      </c>
      <c r="B486" t="s">
        <v>113</v>
      </c>
      <c r="C486" t="s">
        <v>120</v>
      </c>
    </row>
    <row r="487" spans="1:3" x14ac:dyDescent="0.25">
      <c r="A487" t="s">
        <v>161</v>
      </c>
      <c r="B487" t="s">
        <v>121</v>
      </c>
      <c r="C487" t="s">
        <v>94</v>
      </c>
    </row>
    <row r="488" spans="1:3" x14ac:dyDescent="0.25">
      <c r="A488" t="s">
        <v>161</v>
      </c>
      <c r="B488" t="s">
        <v>121</v>
      </c>
      <c r="C488" t="s">
        <v>99</v>
      </c>
    </row>
    <row r="489" spans="1:3" x14ac:dyDescent="0.25">
      <c r="A489" t="s">
        <v>161</v>
      </c>
      <c r="B489" t="s">
        <v>121</v>
      </c>
      <c r="C489" t="s">
        <v>122</v>
      </c>
    </row>
    <row r="490" spans="1:3" x14ac:dyDescent="0.25">
      <c r="A490" t="s">
        <v>161</v>
      </c>
      <c r="B490" t="s">
        <v>121</v>
      </c>
      <c r="C490" t="s">
        <v>92</v>
      </c>
    </row>
    <row r="491" spans="1:3" x14ac:dyDescent="0.25">
      <c r="A491" t="s">
        <v>161</v>
      </c>
      <c r="B491" t="s">
        <v>121</v>
      </c>
      <c r="C491" t="s">
        <v>100</v>
      </c>
    </row>
    <row r="492" spans="1:3" x14ac:dyDescent="0.25">
      <c r="A492" t="s">
        <v>161</v>
      </c>
      <c r="B492" t="s">
        <v>121</v>
      </c>
      <c r="C492" t="s">
        <v>101</v>
      </c>
    </row>
    <row r="493" spans="1:3" x14ac:dyDescent="0.25">
      <c r="A493" t="s">
        <v>161</v>
      </c>
      <c r="B493" t="s">
        <v>121</v>
      </c>
      <c r="C493" t="s">
        <v>108</v>
      </c>
    </row>
    <row r="494" spans="1:3" x14ac:dyDescent="0.25">
      <c r="A494" t="s">
        <v>161</v>
      </c>
      <c r="B494" t="s">
        <v>121</v>
      </c>
      <c r="C494" t="s">
        <v>123</v>
      </c>
    </row>
    <row r="495" spans="1:3" x14ac:dyDescent="0.25">
      <c r="A495" t="s">
        <v>161</v>
      </c>
      <c r="B495" t="s">
        <v>121</v>
      </c>
      <c r="C495" t="s">
        <v>124</v>
      </c>
    </row>
    <row r="496" spans="1:3" x14ac:dyDescent="0.25">
      <c r="A496" t="s">
        <v>161</v>
      </c>
      <c r="B496" t="s">
        <v>121</v>
      </c>
      <c r="C496" t="s">
        <v>125</v>
      </c>
    </row>
    <row r="497" spans="1:3" x14ac:dyDescent="0.25">
      <c r="A497" t="s">
        <v>161</v>
      </c>
      <c r="B497" t="s">
        <v>121</v>
      </c>
      <c r="C497" t="s">
        <v>109</v>
      </c>
    </row>
    <row r="498" spans="1:3" x14ac:dyDescent="0.25">
      <c r="A498" t="s">
        <v>161</v>
      </c>
      <c r="B498" t="s">
        <v>121</v>
      </c>
      <c r="C498" t="s">
        <v>87</v>
      </c>
    </row>
    <row r="499" spans="1:3" x14ac:dyDescent="0.25">
      <c r="A499" t="s">
        <v>161</v>
      </c>
      <c r="B499" t="s">
        <v>121</v>
      </c>
      <c r="C499" t="s">
        <v>126</v>
      </c>
    </row>
    <row r="500" spans="1:3" x14ac:dyDescent="0.25">
      <c r="A500" t="s">
        <v>161</v>
      </c>
      <c r="B500" t="s">
        <v>121</v>
      </c>
      <c r="C500" t="s">
        <v>102</v>
      </c>
    </row>
    <row r="501" spans="1:3" x14ac:dyDescent="0.25">
      <c r="A501" t="s">
        <v>161</v>
      </c>
      <c r="B501" t="s">
        <v>121</v>
      </c>
      <c r="C501" t="s">
        <v>103</v>
      </c>
    </row>
    <row r="502" spans="1:3" x14ac:dyDescent="0.25">
      <c r="A502" t="s">
        <v>161</v>
      </c>
      <c r="B502" t="s">
        <v>121</v>
      </c>
      <c r="C502" t="s">
        <v>127</v>
      </c>
    </row>
    <row r="503" spans="1:3" x14ac:dyDescent="0.25">
      <c r="A503" t="s">
        <v>161</v>
      </c>
      <c r="B503" t="s">
        <v>121</v>
      </c>
      <c r="C503" t="s">
        <v>89</v>
      </c>
    </row>
    <row r="504" spans="1:3" x14ac:dyDescent="0.25">
      <c r="A504" t="s">
        <v>161</v>
      </c>
      <c r="B504" t="s">
        <v>121</v>
      </c>
      <c r="C504" t="s">
        <v>128</v>
      </c>
    </row>
    <row r="505" spans="1:3" x14ac:dyDescent="0.25">
      <c r="A505" t="s">
        <v>161</v>
      </c>
      <c r="B505" t="s">
        <v>121</v>
      </c>
      <c r="C505" t="s">
        <v>129</v>
      </c>
    </row>
    <row r="506" spans="1:3" x14ac:dyDescent="0.25">
      <c r="A506" t="s">
        <v>161</v>
      </c>
      <c r="B506" t="s">
        <v>121</v>
      </c>
      <c r="C506" t="s">
        <v>97</v>
      </c>
    </row>
    <row r="507" spans="1:3" x14ac:dyDescent="0.25">
      <c r="A507" t="s">
        <v>161</v>
      </c>
      <c r="B507" t="s">
        <v>121</v>
      </c>
      <c r="C507" t="s">
        <v>96</v>
      </c>
    </row>
    <row r="508" spans="1:3" x14ac:dyDescent="0.25">
      <c r="A508" t="s">
        <v>161</v>
      </c>
      <c r="B508" t="s">
        <v>45</v>
      </c>
      <c r="C508" t="s">
        <v>130</v>
      </c>
    </row>
    <row r="509" spans="1:3" x14ac:dyDescent="0.25">
      <c r="A509" t="s">
        <v>161</v>
      </c>
      <c r="B509" t="s">
        <v>45</v>
      </c>
      <c r="C509" t="s">
        <v>131</v>
      </c>
    </row>
    <row r="510" spans="1:3" x14ac:dyDescent="0.25">
      <c r="A510" t="s">
        <v>161</v>
      </c>
      <c r="B510" t="s">
        <v>45</v>
      </c>
      <c r="C510" t="s">
        <v>132</v>
      </c>
    </row>
    <row r="511" spans="1:3" x14ac:dyDescent="0.25">
      <c r="A511" t="s">
        <v>161</v>
      </c>
      <c r="B511" t="s">
        <v>134</v>
      </c>
      <c r="C511" t="s">
        <v>133</v>
      </c>
    </row>
    <row r="512" spans="1:3" x14ac:dyDescent="0.25">
      <c r="A512" t="s">
        <v>161</v>
      </c>
      <c r="B512" t="s">
        <v>134</v>
      </c>
      <c r="C512" t="s">
        <v>135</v>
      </c>
    </row>
    <row r="513" spans="1:3" x14ac:dyDescent="0.25">
      <c r="A513" t="s">
        <v>161</v>
      </c>
      <c r="B513" t="s">
        <v>134</v>
      </c>
      <c r="C513" t="s">
        <v>136</v>
      </c>
    </row>
    <row r="514" spans="1:3" x14ac:dyDescent="0.25">
      <c r="A514" t="s">
        <v>161</v>
      </c>
      <c r="B514" t="s">
        <v>134</v>
      </c>
      <c r="C514" t="s">
        <v>137</v>
      </c>
    </row>
    <row r="515" spans="1:3" x14ac:dyDescent="0.25">
      <c r="A515" t="s">
        <v>161</v>
      </c>
      <c r="B515" t="s">
        <v>134</v>
      </c>
      <c r="C515" t="s">
        <v>138</v>
      </c>
    </row>
    <row r="516" spans="1:3" x14ac:dyDescent="0.25">
      <c r="A516" t="s">
        <v>161</v>
      </c>
      <c r="B516" t="s">
        <v>134</v>
      </c>
      <c r="C516" t="s">
        <v>140</v>
      </c>
    </row>
    <row r="517" spans="1:3" x14ac:dyDescent="0.25">
      <c r="A517" t="s">
        <v>161</v>
      </c>
      <c r="B517" t="s">
        <v>134</v>
      </c>
      <c r="C517" t="s">
        <v>112</v>
      </c>
    </row>
    <row r="518" spans="1:3" x14ac:dyDescent="0.25">
      <c r="A518" t="s">
        <v>161</v>
      </c>
      <c r="B518" t="s">
        <v>134</v>
      </c>
      <c r="C518" t="s">
        <v>141</v>
      </c>
    </row>
    <row r="519" spans="1:3" x14ac:dyDescent="0.25">
      <c r="A519" t="s">
        <v>161</v>
      </c>
      <c r="B519" t="s">
        <v>134</v>
      </c>
      <c r="C519" t="s">
        <v>142</v>
      </c>
    </row>
    <row r="520" spans="1:3" x14ac:dyDescent="0.25">
      <c r="A520" t="s">
        <v>161</v>
      </c>
      <c r="B520" t="s">
        <v>134</v>
      </c>
      <c r="C520" t="s">
        <v>143</v>
      </c>
    </row>
    <row r="521" spans="1:3" x14ac:dyDescent="0.25">
      <c r="A521" t="s">
        <v>161</v>
      </c>
      <c r="B521" t="s">
        <v>134</v>
      </c>
      <c r="C521" t="s">
        <v>144</v>
      </c>
    </row>
    <row r="522" spans="1:3" x14ac:dyDescent="0.25">
      <c r="A522" t="s">
        <v>161</v>
      </c>
      <c r="B522" t="s">
        <v>134</v>
      </c>
      <c r="C522" t="s">
        <v>145</v>
      </c>
    </row>
    <row r="523" spans="1:3" x14ac:dyDescent="0.25">
      <c r="A523" t="s">
        <v>161</v>
      </c>
      <c r="B523" t="s">
        <v>134</v>
      </c>
      <c r="C523" t="s">
        <v>146</v>
      </c>
    </row>
    <row r="524" spans="1:3" x14ac:dyDescent="0.25">
      <c r="A524" t="s">
        <v>161</v>
      </c>
      <c r="B524" t="s">
        <v>134</v>
      </c>
      <c r="C524" t="s">
        <v>147</v>
      </c>
    </row>
    <row r="525" spans="1:3" x14ac:dyDescent="0.25">
      <c r="A525" t="s">
        <v>161</v>
      </c>
      <c r="B525" t="s">
        <v>134</v>
      </c>
      <c r="C525" t="s">
        <v>148</v>
      </c>
    </row>
    <row r="526" spans="1:3" x14ac:dyDescent="0.25">
      <c r="A526" t="s">
        <v>162</v>
      </c>
      <c r="B526" t="s">
        <v>45</v>
      </c>
      <c r="C526" t="s">
        <v>43</v>
      </c>
    </row>
    <row r="527" spans="1:3" x14ac:dyDescent="0.25">
      <c r="A527" t="s">
        <v>162</v>
      </c>
      <c r="B527" t="s">
        <v>47</v>
      </c>
      <c r="C527" t="s">
        <v>46</v>
      </c>
    </row>
    <row r="528" spans="1:3" x14ac:dyDescent="0.25">
      <c r="A528" t="s">
        <v>162</v>
      </c>
      <c r="B528" t="s">
        <v>47</v>
      </c>
      <c r="C528" t="s">
        <v>48</v>
      </c>
    </row>
    <row r="529" spans="1:3" x14ac:dyDescent="0.25">
      <c r="A529" t="s">
        <v>162</v>
      </c>
      <c r="B529" t="s">
        <v>47</v>
      </c>
      <c r="C529" t="s">
        <v>49</v>
      </c>
    </row>
    <row r="530" spans="1:3" x14ac:dyDescent="0.25">
      <c r="A530" t="s">
        <v>162</v>
      </c>
      <c r="B530" t="s">
        <v>47</v>
      </c>
      <c r="C530" t="s">
        <v>50</v>
      </c>
    </row>
    <row r="531" spans="1:3" x14ac:dyDescent="0.25">
      <c r="A531" t="s">
        <v>162</v>
      </c>
      <c r="B531" t="s">
        <v>53</v>
      </c>
      <c r="C531" t="s">
        <v>51</v>
      </c>
    </row>
    <row r="532" spans="1:3" x14ac:dyDescent="0.25">
      <c r="A532" t="s">
        <v>162</v>
      </c>
      <c r="B532" t="s">
        <v>53</v>
      </c>
      <c r="C532" t="s">
        <v>54</v>
      </c>
    </row>
    <row r="533" spans="1:3" x14ac:dyDescent="0.25">
      <c r="A533" t="s">
        <v>162</v>
      </c>
      <c r="B533" t="s">
        <v>57</v>
      </c>
      <c r="C533" t="s">
        <v>56</v>
      </c>
    </row>
    <row r="534" spans="1:3" x14ac:dyDescent="0.25">
      <c r="A534" t="s">
        <v>162</v>
      </c>
      <c r="B534" t="s">
        <v>57</v>
      </c>
      <c r="C534" t="s">
        <v>58</v>
      </c>
    </row>
    <row r="535" spans="1:3" x14ac:dyDescent="0.25">
      <c r="A535" t="s">
        <v>162</v>
      </c>
      <c r="B535" t="s">
        <v>57</v>
      </c>
      <c r="C535" t="s">
        <v>59</v>
      </c>
    </row>
    <row r="536" spans="1:3" x14ac:dyDescent="0.25">
      <c r="A536" t="s">
        <v>162</v>
      </c>
      <c r="B536" t="s">
        <v>53</v>
      </c>
      <c r="C536" t="s">
        <v>61</v>
      </c>
    </row>
    <row r="537" spans="1:3" x14ac:dyDescent="0.25">
      <c r="A537" t="s">
        <v>162</v>
      </c>
      <c r="B537" t="s">
        <v>53</v>
      </c>
      <c r="C537" t="s">
        <v>62</v>
      </c>
    </row>
    <row r="538" spans="1:3" x14ac:dyDescent="0.25">
      <c r="A538" t="s">
        <v>162</v>
      </c>
      <c r="B538" t="s">
        <v>57</v>
      </c>
      <c r="C538" t="s">
        <v>63</v>
      </c>
    </row>
    <row r="539" spans="1:3" x14ac:dyDescent="0.25">
      <c r="A539" t="s">
        <v>162</v>
      </c>
      <c r="B539" t="s">
        <v>53</v>
      </c>
      <c r="C539" t="s">
        <v>64</v>
      </c>
    </row>
    <row r="540" spans="1:3" x14ac:dyDescent="0.25">
      <c r="A540" t="s">
        <v>162</v>
      </c>
      <c r="B540" t="s">
        <v>53</v>
      </c>
      <c r="C540" t="s">
        <v>65</v>
      </c>
    </row>
    <row r="541" spans="1:3" x14ac:dyDescent="0.25">
      <c r="A541" t="s">
        <v>162</v>
      </c>
      <c r="B541" t="s">
        <v>53</v>
      </c>
      <c r="C541" t="s">
        <v>66</v>
      </c>
    </row>
    <row r="542" spans="1:3" x14ac:dyDescent="0.25">
      <c r="A542" t="s">
        <v>162</v>
      </c>
      <c r="B542" t="s">
        <v>53</v>
      </c>
      <c r="C542" t="s">
        <v>67</v>
      </c>
    </row>
    <row r="543" spans="1:3" x14ac:dyDescent="0.25">
      <c r="A543" t="s">
        <v>162</v>
      </c>
      <c r="B543" t="s">
        <v>53</v>
      </c>
      <c r="C543" t="s">
        <v>68</v>
      </c>
    </row>
    <row r="544" spans="1:3" x14ac:dyDescent="0.25">
      <c r="A544" t="s">
        <v>162</v>
      </c>
      <c r="B544" t="s">
        <v>53</v>
      </c>
      <c r="C544" t="s">
        <v>69</v>
      </c>
    </row>
    <row r="545" spans="1:3" x14ac:dyDescent="0.25">
      <c r="A545" t="s">
        <v>162</v>
      </c>
      <c r="B545" t="s">
        <v>72</v>
      </c>
      <c r="C545" t="s">
        <v>70</v>
      </c>
    </row>
    <row r="546" spans="1:3" x14ac:dyDescent="0.25">
      <c r="A546" t="s">
        <v>162</v>
      </c>
      <c r="B546" t="s">
        <v>72</v>
      </c>
      <c r="C546" t="s">
        <v>73</v>
      </c>
    </row>
    <row r="547" spans="1:3" x14ac:dyDescent="0.25">
      <c r="A547" t="s">
        <v>162</v>
      </c>
      <c r="B547" t="s">
        <v>72</v>
      </c>
      <c r="C547" t="s">
        <v>74</v>
      </c>
    </row>
    <row r="548" spans="1:3" x14ac:dyDescent="0.25">
      <c r="A548" t="s">
        <v>162</v>
      </c>
      <c r="B548" t="s">
        <v>72</v>
      </c>
      <c r="C548" t="s">
        <v>75</v>
      </c>
    </row>
    <row r="549" spans="1:3" x14ac:dyDescent="0.25">
      <c r="A549" t="s">
        <v>162</v>
      </c>
      <c r="B549" t="s">
        <v>72</v>
      </c>
      <c r="C549" t="s">
        <v>76</v>
      </c>
    </row>
    <row r="550" spans="1:3" x14ac:dyDescent="0.25">
      <c r="A550" t="s">
        <v>162</v>
      </c>
      <c r="B550" t="s">
        <v>57</v>
      </c>
      <c r="C550" t="s">
        <v>77</v>
      </c>
    </row>
    <row r="551" spans="1:3" x14ac:dyDescent="0.25">
      <c r="A551" t="s">
        <v>162</v>
      </c>
      <c r="B551" t="s">
        <v>57</v>
      </c>
      <c r="C551" t="s">
        <v>78</v>
      </c>
    </row>
    <row r="552" spans="1:3" x14ac:dyDescent="0.25">
      <c r="A552" t="s">
        <v>162</v>
      </c>
      <c r="B552" t="s">
        <v>57</v>
      </c>
      <c r="C552" t="s">
        <v>79</v>
      </c>
    </row>
    <row r="553" spans="1:3" x14ac:dyDescent="0.25">
      <c r="A553" t="s">
        <v>162</v>
      </c>
      <c r="B553" t="s">
        <v>57</v>
      </c>
      <c r="C553" t="s">
        <v>80</v>
      </c>
    </row>
    <row r="554" spans="1:3" x14ac:dyDescent="0.25">
      <c r="A554" t="s">
        <v>162</v>
      </c>
      <c r="B554" t="s">
        <v>57</v>
      </c>
      <c r="C554" t="s">
        <v>81</v>
      </c>
    </row>
    <row r="555" spans="1:3" x14ac:dyDescent="0.25">
      <c r="A555" t="s">
        <v>162</v>
      </c>
      <c r="B555" t="s">
        <v>57</v>
      </c>
      <c r="C555" t="s">
        <v>82</v>
      </c>
    </row>
    <row r="556" spans="1:3" x14ac:dyDescent="0.25">
      <c r="A556" t="s">
        <v>162</v>
      </c>
      <c r="B556" t="s">
        <v>57</v>
      </c>
      <c r="C556" t="s">
        <v>83</v>
      </c>
    </row>
    <row r="557" spans="1:3" x14ac:dyDescent="0.25">
      <c r="A557" t="s">
        <v>162</v>
      </c>
      <c r="B557" t="s">
        <v>57</v>
      </c>
      <c r="C557" t="s">
        <v>84</v>
      </c>
    </row>
    <row r="558" spans="1:3" x14ac:dyDescent="0.25">
      <c r="A558" t="s">
        <v>162</v>
      </c>
      <c r="B558" t="s">
        <v>57</v>
      </c>
      <c r="C558" t="s">
        <v>85</v>
      </c>
    </row>
    <row r="559" spans="1:3" x14ac:dyDescent="0.25">
      <c r="A559" t="s">
        <v>162</v>
      </c>
      <c r="B559" t="s">
        <v>57</v>
      </c>
      <c r="C559" t="s">
        <v>86</v>
      </c>
    </row>
    <row r="560" spans="1:3" x14ac:dyDescent="0.25">
      <c r="A560" t="s">
        <v>162</v>
      </c>
      <c r="B560" t="s">
        <v>88</v>
      </c>
      <c r="C560" t="s">
        <v>87</v>
      </c>
    </row>
    <row r="561" spans="1:3" x14ac:dyDescent="0.25">
      <c r="A561" t="s">
        <v>162</v>
      </c>
      <c r="B561" t="s">
        <v>88</v>
      </c>
      <c r="C561" t="s">
        <v>89</v>
      </c>
    </row>
    <row r="562" spans="1:3" x14ac:dyDescent="0.25">
      <c r="A562" t="s">
        <v>162</v>
      </c>
      <c r="B562" t="s">
        <v>88</v>
      </c>
      <c r="C562" t="s">
        <v>90</v>
      </c>
    </row>
    <row r="563" spans="1:3" x14ac:dyDescent="0.25">
      <c r="A563" t="s">
        <v>162</v>
      </c>
      <c r="B563" t="s">
        <v>88</v>
      </c>
      <c r="C563" t="s">
        <v>91</v>
      </c>
    </row>
    <row r="564" spans="1:3" x14ac:dyDescent="0.25">
      <c r="A564" t="s">
        <v>162</v>
      </c>
      <c r="B564" t="s">
        <v>88</v>
      </c>
      <c r="C564" t="s">
        <v>92</v>
      </c>
    </row>
    <row r="565" spans="1:3" x14ac:dyDescent="0.25">
      <c r="A565" t="s">
        <v>162</v>
      </c>
      <c r="B565" t="s">
        <v>88</v>
      </c>
      <c r="C565" t="s">
        <v>93</v>
      </c>
    </row>
    <row r="566" spans="1:3" x14ac:dyDescent="0.25">
      <c r="A566" t="s">
        <v>162</v>
      </c>
      <c r="B566" t="s">
        <v>88</v>
      </c>
      <c r="C566" t="s">
        <v>94</v>
      </c>
    </row>
    <row r="567" spans="1:3" x14ac:dyDescent="0.25">
      <c r="A567" t="s">
        <v>162</v>
      </c>
      <c r="B567" t="s">
        <v>88</v>
      </c>
      <c r="C567" t="s">
        <v>95</v>
      </c>
    </row>
    <row r="568" spans="1:3" x14ac:dyDescent="0.25">
      <c r="A568" t="s">
        <v>162</v>
      </c>
      <c r="B568" t="s">
        <v>88</v>
      </c>
      <c r="C568" t="s">
        <v>96</v>
      </c>
    </row>
    <row r="569" spans="1:3" x14ac:dyDescent="0.25">
      <c r="A569" t="s">
        <v>162</v>
      </c>
      <c r="B569" t="s">
        <v>88</v>
      </c>
      <c r="C569" t="s">
        <v>97</v>
      </c>
    </row>
    <row r="570" spans="1:3" x14ac:dyDescent="0.25">
      <c r="A570" t="s">
        <v>162</v>
      </c>
      <c r="B570" t="s">
        <v>88</v>
      </c>
      <c r="C570" t="s">
        <v>98</v>
      </c>
    </row>
    <row r="571" spans="1:3" x14ac:dyDescent="0.25">
      <c r="A571" t="s">
        <v>162</v>
      </c>
      <c r="B571" t="s">
        <v>88</v>
      </c>
      <c r="C571" t="s">
        <v>99</v>
      </c>
    </row>
    <row r="572" spans="1:3" x14ac:dyDescent="0.25">
      <c r="A572" t="s">
        <v>162</v>
      </c>
      <c r="B572" t="s">
        <v>88</v>
      </c>
      <c r="C572" t="s">
        <v>100</v>
      </c>
    </row>
    <row r="573" spans="1:3" x14ac:dyDescent="0.25">
      <c r="A573" t="s">
        <v>162</v>
      </c>
      <c r="B573" t="s">
        <v>88</v>
      </c>
      <c r="C573" t="s">
        <v>101</v>
      </c>
    </row>
    <row r="574" spans="1:3" x14ac:dyDescent="0.25">
      <c r="A574" t="s">
        <v>162</v>
      </c>
      <c r="B574" t="s">
        <v>88</v>
      </c>
      <c r="C574" t="s">
        <v>102</v>
      </c>
    </row>
    <row r="575" spans="1:3" x14ac:dyDescent="0.25">
      <c r="A575" t="s">
        <v>162</v>
      </c>
      <c r="B575" t="s">
        <v>88</v>
      </c>
      <c r="C575" t="s">
        <v>103</v>
      </c>
    </row>
    <row r="576" spans="1:3" x14ac:dyDescent="0.25">
      <c r="A576" t="s">
        <v>162</v>
      </c>
      <c r="B576" t="s">
        <v>88</v>
      </c>
      <c r="C576" t="s">
        <v>104</v>
      </c>
    </row>
    <row r="577" spans="1:3" x14ac:dyDescent="0.25">
      <c r="A577" t="s">
        <v>162</v>
      </c>
      <c r="B577" t="s">
        <v>88</v>
      </c>
      <c r="C577" t="s">
        <v>105</v>
      </c>
    </row>
    <row r="578" spans="1:3" x14ac:dyDescent="0.25">
      <c r="A578" t="s">
        <v>162</v>
      </c>
      <c r="B578" t="s">
        <v>88</v>
      </c>
      <c r="C578" t="s">
        <v>106</v>
      </c>
    </row>
    <row r="579" spans="1:3" x14ac:dyDescent="0.25">
      <c r="A579" t="s">
        <v>162</v>
      </c>
      <c r="B579" t="s">
        <v>88</v>
      </c>
      <c r="C579" t="s">
        <v>107</v>
      </c>
    </row>
    <row r="580" spans="1:3" x14ac:dyDescent="0.25">
      <c r="A580" t="s">
        <v>162</v>
      </c>
      <c r="B580" t="s">
        <v>88</v>
      </c>
      <c r="C580" t="s">
        <v>108</v>
      </c>
    </row>
    <row r="581" spans="1:3" x14ac:dyDescent="0.25">
      <c r="A581" t="s">
        <v>162</v>
      </c>
      <c r="B581" t="s">
        <v>88</v>
      </c>
      <c r="C581" t="s">
        <v>109</v>
      </c>
    </row>
    <row r="582" spans="1:3" x14ac:dyDescent="0.25">
      <c r="A582" t="s">
        <v>162</v>
      </c>
      <c r="B582" t="s">
        <v>88</v>
      </c>
      <c r="C582" t="s">
        <v>110</v>
      </c>
    </row>
    <row r="583" spans="1:3" x14ac:dyDescent="0.25">
      <c r="A583" t="s">
        <v>162</v>
      </c>
      <c r="B583" t="s">
        <v>53</v>
      </c>
      <c r="C583" t="s">
        <v>111</v>
      </c>
    </row>
    <row r="584" spans="1:3" x14ac:dyDescent="0.25">
      <c r="A584" t="s">
        <v>162</v>
      </c>
      <c r="B584" t="s">
        <v>113</v>
      </c>
      <c r="C584" t="s">
        <v>112</v>
      </c>
    </row>
    <row r="585" spans="1:3" x14ac:dyDescent="0.25">
      <c r="A585" t="s">
        <v>162</v>
      </c>
      <c r="B585" t="s">
        <v>113</v>
      </c>
      <c r="C585" t="s">
        <v>114</v>
      </c>
    </row>
    <row r="586" spans="1:3" x14ac:dyDescent="0.25">
      <c r="A586" t="s">
        <v>162</v>
      </c>
      <c r="B586" t="s">
        <v>113</v>
      </c>
      <c r="C586" t="s">
        <v>115</v>
      </c>
    </row>
    <row r="587" spans="1:3" x14ac:dyDescent="0.25">
      <c r="A587" t="s">
        <v>162</v>
      </c>
      <c r="B587" t="s">
        <v>113</v>
      </c>
      <c r="C587" t="s">
        <v>116</v>
      </c>
    </row>
    <row r="588" spans="1:3" x14ac:dyDescent="0.25">
      <c r="A588" t="s">
        <v>162</v>
      </c>
      <c r="B588" t="s">
        <v>113</v>
      </c>
      <c r="C588" t="s">
        <v>117</v>
      </c>
    </row>
    <row r="589" spans="1:3" x14ac:dyDescent="0.25">
      <c r="A589" t="s">
        <v>162</v>
      </c>
      <c r="B589" t="s">
        <v>113</v>
      </c>
      <c r="C589" t="s">
        <v>118</v>
      </c>
    </row>
    <row r="590" spans="1:3" x14ac:dyDescent="0.25">
      <c r="A590" t="s">
        <v>162</v>
      </c>
      <c r="B590" t="s">
        <v>113</v>
      </c>
      <c r="C590" t="s">
        <v>119</v>
      </c>
    </row>
    <row r="591" spans="1:3" x14ac:dyDescent="0.25">
      <c r="A591" t="s">
        <v>162</v>
      </c>
      <c r="B591" t="s">
        <v>113</v>
      </c>
      <c r="C591" t="s">
        <v>120</v>
      </c>
    </row>
    <row r="592" spans="1:3" x14ac:dyDescent="0.25">
      <c r="A592" t="s">
        <v>162</v>
      </c>
      <c r="B592" t="s">
        <v>121</v>
      </c>
      <c r="C592" t="s">
        <v>94</v>
      </c>
    </row>
    <row r="593" spans="1:3" x14ac:dyDescent="0.25">
      <c r="A593" t="s">
        <v>162</v>
      </c>
      <c r="B593" t="s">
        <v>121</v>
      </c>
      <c r="C593" t="s">
        <v>99</v>
      </c>
    </row>
    <row r="594" spans="1:3" x14ac:dyDescent="0.25">
      <c r="A594" t="s">
        <v>162</v>
      </c>
      <c r="B594" t="s">
        <v>121</v>
      </c>
      <c r="C594" t="s">
        <v>122</v>
      </c>
    </row>
    <row r="595" spans="1:3" x14ac:dyDescent="0.25">
      <c r="A595" t="s">
        <v>162</v>
      </c>
      <c r="B595" t="s">
        <v>121</v>
      </c>
      <c r="C595" t="s">
        <v>92</v>
      </c>
    </row>
    <row r="596" spans="1:3" x14ac:dyDescent="0.25">
      <c r="A596" t="s">
        <v>162</v>
      </c>
      <c r="B596" t="s">
        <v>121</v>
      </c>
      <c r="C596" t="s">
        <v>100</v>
      </c>
    </row>
    <row r="597" spans="1:3" x14ac:dyDescent="0.25">
      <c r="A597" t="s">
        <v>162</v>
      </c>
      <c r="B597" t="s">
        <v>121</v>
      </c>
      <c r="C597" t="s">
        <v>101</v>
      </c>
    </row>
    <row r="598" spans="1:3" x14ac:dyDescent="0.25">
      <c r="A598" t="s">
        <v>162</v>
      </c>
      <c r="B598" t="s">
        <v>121</v>
      </c>
      <c r="C598" t="s">
        <v>108</v>
      </c>
    </row>
    <row r="599" spans="1:3" x14ac:dyDescent="0.25">
      <c r="A599" t="s">
        <v>162</v>
      </c>
      <c r="B599" t="s">
        <v>121</v>
      </c>
      <c r="C599" t="s">
        <v>123</v>
      </c>
    </row>
    <row r="600" spans="1:3" x14ac:dyDescent="0.25">
      <c r="A600" t="s">
        <v>162</v>
      </c>
      <c r="B600" t="s">
        <v>121</v>
      </c>
      <c r="C600" t="s">
        <v>124</v>
      </c>
    </row>
    <row r="601" spans="1:3" x14ac:dyDescent="0.25">
      <c r="A601" t="s">
        <v>162</v>
      </c>
      <c r="B601" t="s">
        <v>121</v>
      </c>
      <c r="C601" t="s">
        <v>125</v>
      </c>
    </row>
    <row r="602" spans="1:3" x14ac:dyDescent="0.25">
      <c r="A602" t="s">
        <v>162</v>
      </c>
      <c r="B602" t="s">
        <v>121</v>
      </c>
      <c r="C602" t="s">
        <v>109</v>
      </c>
    </row>
    <row r="603" spans="1:3" x14ac:dyDescent="0.25">
      <c r="A603" t="s">
        <v>162</v>
      </c>
      <c r="B603" t="s">
        <v>121</v>
      </c>
      <c r="C603" t="s">
        <v>87</v>
      </c>
    </row>
    <row r="604" spans="1:3" x14ac:dyDescent="0.25">
      <c r="A604" t="s">
        <v>162</v>
      </c>
      <c r="B604" t="s">
        <v>121</v>
      </c>
      <c r="C604" t="s">
        <v>126</v>
      </c>
    </row>
    <row r="605" spans="1:3" x14ac:dyDescent="0.25">
      <c r="A605" t="s">
        <v>162</v>
      </c>
      <c r="B605" t="s">
        <v>121</v>
      </c>
      <c r="C605" t="s">
        <v>102</v>
      </c>
    </row>
    <row r="606" spans="1:3" x14ac:dyDescent="0.25">
      <c r="A606" t="s">
        <v>162</v>
      </c>
      <c r="B606" t="s">
        <v>121</v>
      </c>
      <c r="C606" t="s">
        <v>103</v>
      </c>
    </row>
    <row r="607" spans="1:3" x14ac:dyDescent="0.25">
      <c r="A607" t="s">
        <v>162</v>
      </c>
      <c r="B607" t="s">
        <v>121</v>
      </c>
      <c r="C607" t="s">
        <v>127</v>
      </c>
    </row>
    <row r="608" spans="1:3" x14ac:dyDescent="0.25">
      <c r="A608" t="s">
        <v>162</v>
      </c>
      <c r="B608" t="s">
        <v>121</v>
      </c>
      <c r="C608" t="s">
        <v>89</v>
      </c>
    </row>
    <row r="609" spans="1:3" x14ac:dyDescent="0.25">
      <c r="A609" t="s">
        <v>162</v>
      </c>
      <c r="B609" t="s">
        <v>121</v>
      </c>
      <c r="C609" t="s">
        <v>128</v>
      </c>
    </row>
    <row r="610" spans="1:3" x14ac:dyDescent="0.25">
      <c r="A610" t="s">
        <v>162</v>
      </c>
      <c r="B610" t="s">
        <v>121</v>
      </c>
      <c r="C610" t="s">
        <v>129</v>
      </c>
    </row>
    <row r="611" spans="1:3" x14ac:dyDescent="0.25">
      <c r="A611" t="s">
        <v>162</v>
      </c>
      <c r="B611" t="s">
        <v>121</v>
      </c>
      <c r="C611" t="s">
        <v>97</v>
      </c>
    </row>
    <row r="612" spans="1:3" x14ac:dyDescent="0.25">
      <c r="A612" t="s">
        <v>162</v>
      </c>
      <c r="B612" t="s">
        <v>121</v>
      </c>
      <c r="C612" t="s">
        <v>96</v>
      </c>
    </row>
    <row r="613" spans="1:3" x14ac:dyDescent="0.25">
      <c r="A613" t="s">
        <v>162</v>
      </c>
      <c r="B613" t="s">
        <v>45</v>
      </c>
      <c r="C613" t="s">
        <v>130</v>
      </c>
    </row>
    <row r="614" spans="1:3" x14ac:dyDescent="0.25">
      <c r="A614" t="s">
        <v>162</v>
      </c>
      <c r="B614" t="s">
        <v>45</v>
      </c>
      <c r="C614" t="s">
        <v>131</v>
      </c>
    </row>
    <row r="615" spans="1:3" x14ac:dyDescent="0.25">
      <c r="A615" t="s">
        <v>162</v>
      </c>
      <c r="B615" t="s">
        <v>45</v>
      </c>
      <c r="C615" t="s">
        <v>132</v>
      </c>
    </row>
    <row r="616" spans="1:3" x14ac:dyDescent="0.25">
      <c r="A616" t="s">
        <v>162</v>
      </c>
      <c r="B616" t="s">
        <v>134</v>
      </c>
      <c r="C616" t="s">
        <v>133</v>
      </c>
    </row>
    <row r="617" spans="1:3" x14ac:dyDescent="0.25">
      <c r="A617" t="s">
        <v>162</v>
      </c>
      <c r="B617" t="s">
        <v>134</v>
      </c>
      <c r="C617" t="s">
        <v>135</v>
      </c>
    </row>
    <row r="618" spans="1:3" x14ac:dyDescent="0.25">
      <c r="A618" t="s">
        <v>162</v>
      </c>
      <c r="B618" t="s">
        <v>134</v>
      </c>
      <c r="C618" t="s">
        <v>136</v>
      </c>
    </row>
    <row r="619" spans="1:3" x14ac:dyDescent="0.25">
      <c r="A619" t="s">
        <v>162</v>
      </c>
      <c r="B619" t="s">
        <v>134</v>
      </c>
      <c r="C619" t="s">
        <v>137</v>
      </c>
    </row>
    <row r="620" spans="1:3" x14ac:dyDescent="0.25">
      <c r="A620" t="s">
        <v>162</v>
      </c>
      <c r="B620" t="s">
        <v>134</v>
      </c>
      <c r="C620" t="s">
        <v>138</v>
      </c>
    </row>
    <row r="621" spans="1:3" x14ac:dyDescent="0.25">
      <c r="A621" t="s">
        <v>162</v>
      </c>
      <c r="B621" t="s">
        <v>134</v>
      </c>
      <c r="C621" t="s">
        <v>140</v>
      </c>
    </row>
    <row r="622" spans="1:3" x14ac:dyDescent="0.25">
      <c r="A622" t="s">
        <v>162</v>
      </c>
      <c r="B622" t="s">
        <v>134</v>
      </c>
      <c r="C622" t="s">
        <v>112</v>
      </c>
    </row>
    <row r="623" spans="1:3" x14ac:dyDescent="0.25">
      <c r="A623" t="s">
        <v>162</v>
      </c>
      <c r="B623" t="s">
        <v>134</v>
      </c>
      <c r="C623" t="s">
        <v>141</v>
      </c>
    </row>
    <row r="624" spans="1:3" x14ac:dyDescent="0.25">
      <c r="A624" t="s">
        <v>162</v>
      </c>
      <c r="B624" t="s">
        <v>134</v>
      </c>
      <c r="C624" t="s">
        <v>142</v>
      </c>
    </row>
    <row r="625" spans="1:3" x14ac:dyDescent="0.25">
      <c r="A625" t="s">
        <v>162</v>
      </c>
      <c r="B625" t="s">
        <v>134</v>
      </c>
      <c r="C625" t="s">
        <v>143</v>
      </c>
    </row>
    <row r="626" spans="1:3" x14ac:dyDescent="0.25">
      <c r="A626" t="s">
        <v>162</v>
      </c>
      <c r="B626" t="s">
        <v>134</v>
      </c>
      <c r="C626" t="s">
        <v>144</v>
      </c>
    </row>
    <row r="627" spans="1:3" x14ac:dyDescent="0.25">
      <c r="A627" t="s">
        <v>162</v>
      </c>
      <c r="B627" t="s">
        <v>134</v>
      </c>
      <c r="C627" t="s">
        <v>145</v>
      </c>
    </row>
    <row r="628" spans="1:3" x14ac:dyDescent="0.25">
      <c r="A628" t="s">
        <v>162</v>
      </c>
      <c r="B628" t="s">
        <v>134</v>
      </c>
      <c r="C628" t="s">
        <v>146</v>
      </c>
    </row>
    <row r="629" spans="1:3" x14ac:dyDescent="0.25">
      <c r="A629" t="s">
        <v>162</v>
      </c>
      <c r="B629" t="s">
        <v>134</v>
      </c>
      <c r="C629" t="s">
        <v>147</v>
      </c>
    </row>
    <row r="630" spans="1:3" x14ac:dyDescent="0.25">
      <c r="A630" t="s">
        <v>162</v>
      </c>
      <c r="B630" t="s">
        <v>134</v>
      </c>
      <c r="C630" t="s">
        <v>148</v>
      </c>
    </row>
    <row r="631" spans="1:3" x14ac:dyDescent="0.25">
      <c r="A631" t="s">
        <v>163</v>
      </c>
      <c r="B631" t="s">
        <v>45</v>
      </c>
      <c r="C631" t="s">
        <v>43</v>
      </c>
    </row>
    <row r="632" spans="1:3" x14ac:dyDescent="0.25">
      <c r="A632" t="s">
        <v>163</v>
      </c>
      <c r="B632" t="s">
        <v>47</v>
      </c>
      <c r="C632" t="s">
        <v>46</v>
      </c>
    </row>
    <row r="633" spans="1:3" x14ac:dyDescent="0.25">
      <c r="A633" t="s">
        <v>163</v>
      </c>
      <c r="B633" t="s">
        <v>47</v>
      </c>
      <c r="C633" t="s">
        <v>48</v>
      </c>
    </row>
    <row r="634" spans="1:3" x14ac:dyDescent="0.25">
      <c r="A634" t="s">
        <v>163</v>
      </c>
      <c r="B634" t="s">
        <v>47</v>
      </c>
      <c r="C634" t="s">
        <v>49</v>
      </c>
    </row>
    <row r="635" spans="1:3" x14ac:dyDescent="0.25">
      <c r="A635" t="s">
        <v>163</v>
      </c>
      <c r="B635" t="s">
        <v>47</v>
      </c>
      <c r="C635" t="s">
        <v>50</v>
      </c>
    </row>
    <row r="636" spans="1:3" x14ac:dyDescent="0.25">
      <c r="A636" t="s">
        <v>163</v>
      </c>
      <c r="B636" t="s">
        <v>53</v>
      </c>
      <c r="C636" t="s">
        <v>51</v>
      </c>
    </row>
    <row r="637" spans="1:3" x14ac:dyDescent="0.25">
      <c r="A637" t="s">
        <v>163</v>
      </c>
      <c r="B637" t="s">
        <v>53</v>
      </c>
      <c r="C637" t="s">
        <v>54</v>
      </c>
    </row>
    <row r="638" spans="1:3" x14ac:dyDescent="0.25">
      <c r="A638" t="s">
        <v>163</v>
      </c>
      <c r="B638" t="s">
        <v>57</v>
      </c>
      <c r="C638" t="s">
        <v>56</v>
      </c>
    </row>
    <row r="639" spans="1:3" x14ac:dyDescent="0.25">
      <c r="A639" t="s">
        <v>163</v>
      </c>
      <c r="B639" t="s">
        <v>57</v>
      </c>
      <c r="C639" t="s">
        <v>58</v>
      </c>
    </row>
    <row r="640" spans="1:3" x14ac:dyDescent="0.25">
      <c r="A640" t="s">
        <v>163</v>
      </c>
      <c r="B640" t="s">
        <v>57</v>
      </c>
      <c r="C640" t="s">
        <v>59</v>
      </c>
    </row>
    <row r="641" spans="1:3" x14ac:dyDescent="0.25">
      <c r="A641" t="s">
        <v>163</v>
      </c>
      <c r="B641" t="s">
        <v>53</v>
      </c>
      <c r="C641" t="s">
        <v>61</v>
      </c>
    </row>
    <row r="642" spans="1:3" x14ac:dyDescent="0.25">
      <c r="A642" t="s">
        <v>163</v>
      </c>
      <c r="B642" t="s">
        <v>53</v>
      </c>
      <c r="C642" t="s">
        <v>62</v>
      </c>
    </row>
    <row r="643" spans="1:3" x14ac:dyDescent="0.25">
      <c r="A643" t="s">
        <v>163</v>
      </c>
      <c r="B643" t="s">
        <v>57</v>
      </c>
      <c r="C643" t="s">
        <v>63</v>
      </c>
    </row>
    <row r="644" spans="1:3" x14ac:dyDescent="0.25">
      <c r="A644" t="s">
        <v>163</v>
      </c>
      <c r="B644" t="s">
        <v>53</v>
      </c>
      <c r="C644" t="s">
        <v>64</v>
      </c>
    </row>
    <row r="645" spans="1:3" x14ac:dyDescent="0.25">
      <c r="A645" t="s">
        <v>163</v>
      </c>
      <c r="B645" t="s">
        <v>53</v>
      </c>
      <c r="C645" t="s">
        <v>65</v>
      </c>
    </row>
    <row r="646" spans="1:3" x14ac:dyDescent="0.25">
      <c r="A646" t="s">
        <v>163</v>
      </c>
      <c r="B646" t="s">
        <v>53</v>
      </c>
      <c r="C646" t="s">
        <v>66</v>
      </c>
    </row>
    <row r="647" spans="1:3" x14ac:dyDescent="0.25">
      <c r="A647" t="s">
        <v>163</v>
      </c>
      <c r="B647" t="s">
        <v>53</v>
      </c>
      <c r="C647" t="s">
        <v>67</v>
      </c>
    </row>
    <row r="648" spans="1:3" x14ac:dyDescent="0.25">
      <c r="A648" t="s">
        <v>163</v>
      </c>
      <c r="B648" t="s">
        <v>53</v>
      </c>
      <c r="C648" t="s">
        <v>68</v>
      </c>
    </row>
    <row r="649" spans="1:3" x14ac:dyDescent="0.25">
      <c r="A649" t="s">
        <v>163</v>
      </c>
      <c r="B649" t="s">
        <v>53</v>
      </c>
      <c r="C649" t="s">
        <v>69</v>
      </c>
    </row>
    <row r="650" spans="1:3" x14ac:dyDescent="0.25">
      <c r="A650" t="s">
        <v>163</v>
      </c>
      <c r="B650" t="s">
        <v>72</v>
      </c>
      <c r="C650" t="s">
        <v>70</v>
      </c>
    </row>
    <row r="651" spans="1:3" x14ac:dyDescent="0.25">
      <c r="A651" t="s">
        <v>163</v>
      </c>
      <c r="B651" t="s">
        <v>72</v>
      </c>
      <c r="C651" t="s">
        <v>73</v>
      </c>
    </row>
    <row r="652" spans="1:3" x14ac:dyDescent="0.25">
      <c r="A652" t="s">
        <v>163</v>
      </c>
      <c r="B652" t="s">
        <v>72</v>
      </c>
      <c r="C652" t="s">
        <v>74</v>
      </c>
    </row>
    <row r="653" spans="1:3" x14ac:dyDescent="0.25">
      <c r="A653" t="s">
        <v>163</v>
      </c>
      <c r="B653" t="s">
        <v>72</v>
      </c>
      <c r="C653" t="s">
        <v>75</v>
      </c>
    </row>
    <row r="654" spans="1:3" x14ac:dyDescent="0.25">
      <c r="A654" t="s">
        <v>163</v>
      </c>
      <c r="B654" t="s">
        <v>72</v>
      </c>
      <c r="C654" t="s">
        <v>76</v>
      </c>
    </row>
    <row r="655" spans="1:3" x14ac:dyDescent="0.25">
      <c r="A655" t="s">
        <v>163</v>
      </c>
      <c r="B655" t="s">
        <v>57</v>
      </c>
      <c r="C655" t="s">
        <v>77</v>
      </c>
    </row>
    <row r="656" spans="1:3" x14ac:dyDescent="0.25">
      <c r="A656" t="s">
        <v>163</v>
      </c>
      <c r="B656" t="s">
        <v>57</v>
      </c>
      <c r="C656" t="s">
        <v>78</v>
      </c>
    </row>
    <row r="657" spans="1:3" x14ac:dyDescent="0.25">
      <c r="A657" t="s">
        <v>163</v>
      </c>
      <c r="B657" t="s">
        <v>57</v>
      </c>
      <c r="C657" t="s">
        <v>79</v>
      </c>
    </row>
    <row r="658" spans="1:3" x14ac:dyDescent="0.25">
      <c r="A658" t="s">
        <v>163</v>
      </c>
      <c r="B658" t="s">
        <v>57</v>
      </c>
      <c r="C658" t="s">
        <v>80</v>
      </c>
    </row>
    <row r="659" spans="1:3" x14ac:dyDescent="0.25">
      <c r="A659" t="s">
        <v>163</v>
      </c>
      <c r="B659" t="s">
        <v>57</v>
      </c>
      <c r="C659" t="s">
        <v>81</v>
      </c>
    </row>
    <row r="660" spans="1:3" x14ac:dyDescent="0.25">
      <c r="A660" t="s">
        <v>163</v>
      </c>
      <c r="B660" t="s">
        <v>57</v>
      </c>
      <c r="C660" t="s">
        <v>82</v>
      </c>
    </row>
    <row r="661" spans="1:3" x14ac:dyDescent="0.25">
      <c r="A661" t="s">
        <v>163</v>
      </c>
      <c r="B661" t="s">
        <v>57</v>
      </c>
      <c r="C661" t="s">
        <v>83</v>
      </c>
    </row>
    <row r="662" spans="1:3" x14ac:dyDescent="0.25">
      <c r="A662" t="s">
        <v>163</v>
      </c>
      <c r="B662" t="s">
        <v>57</v>
      </c>
      <c r="C662" t="s">
        <v>84</v>
      </c>
    </row>
    <row r="663" spans="1:3" x14ac:dyDescent="0.25">
      <c r="A663" t="s">
        <v>163</v>
      </c>
      <c r="B663" t="s">
        <v>57</v>
      </c>
      <c r="C663" t="s">
        <v>85</v>
      </c>
    </row>
    <row r="664" spans="1:3" x14ac:dyDescent="0.25">
      <c r="A664" t="s">
        <v>163</v>
      </c>
      <c r="B664" t="s">
        <v>57</v>
      </c>
      <c r="C664" t="s">
        <v>86</v>
      </c>
    </row>
    <row r="665" spans="1:3" x14ac:dyDescent="0.25">
      <c r="A665" t="s">
        <v>163</v>
      </c>
      <c r="B665" t="s">
        <v>88</v>
      </c>
      <c r="C665" t="s">
        <v>87</v>
      </c>
    </row>
    <row r="666" spans="1:3" x14ac:dyDescent="0.25">
      <c r="A666" t="s">
        <v>163</v>
      </c>
      <c r="B666" t="s">
        <v>88</v>
      </c>
      <c r="C666" t="s">
        <v>89</v>
      </c>
    </row>
    <row r="667" spans="1:3" x14ac:dyDescent="0.25">
      <c r="A667" t="s">
        <v>163</v>
      </c>
      <c r="B667" t="s">
        <v>88</v>
      </c>
      <c r="C667" t="s">
        <v>90</v>
      </c>
    </row>
    <row r="668" spans="1:3" x14ac:dyDescent="0.25">
      <c r="A668" t="s">
        <v>163</v>
      </c>
      <c r="B668" t="s">
        <v>88</v>
      </c>
      <c r="C668" t="s">
        <v>91</v>
      </c>
    </row>
    <row r="669" spans="1:3" x14ac:dyDescent="0.25">
      <c r="A669" t="s">
        <v>163</v>
      </c>
      <c r="B669" t="s">
        <v>88</v>
      </c>
      <c r="C669" t="s">
        <v>92</v>
      </c>
    </row>
    <row r="670" spans="1:3" x14ac:dyDescent="0.25">
      <c r="A670" t="s">
        <v>163</v>
      </c>
      <c r="B670" t="s">
        <v>88</v>
      </c>
      <c r="C670" t="s">
        <v>93</v>
      </c>
    </row>
    <row r="671" spans="1:3" x14ac:dyDescent="0.25">
      <c r="A671" t="s">
        <v>163</v>
      </c>
      <c r="B671" t="s">
        <v>88</v>
      </c>
      <c r="C671" t="s">
        <v>94</v>
      </c>
    </row>
    <row r="672" spans="1:3" x14ac:dyDescent="0.25">
      <c r="A672" t="s">
        <v>163</v>
      </c>
      <c r="B672" t="s">
        <v>88</v>
      </c>
      <c r="C672" t="s">
        <v>95</v>
      </c>
    </row>
    <row r="673" spans="1:3" x14ac:dyDescent="0.25">
      <c r="A673" t="s">
        <v>163</v>
      </c>
      <c r="B673" t="s">
        <v>88</v>
      </c>
      <c r="C673" t="s">
        <v>96</v>
      </c>
    </row>
    <row r="674" spans="1:3" x14ac:dyDescent="0.25">
      <c r="A674" t="s">
        <v>163</v>
      </c>
      <c r="B674" t="s">
        <v>88</v>
      </c>
      <c r="C674" t="s">
        <v>97</v>
      </c>
    </row>
    <row r="675" spans="1:3" x14ac:dyDescent="0.25">
      <c r="A675" t="s">
        <v>163</v>
      </c>
      <c r="B675" t="s">
        <v>88</v>
      </c>
      <c r="C675" t="s">
        <v>98</v>
      </c>
    </row>
    <row r="676" spans="1:3" x14ac:dyDescent="0.25">
      <c r="A676" t="s">
        <v>163</v>
      </c>
      <c r="B676" t="s">
        <v>88</v>
      </c>
      <c r="C676" t="s">
        <v>99</v>
      </c>
    </row>
    <row r="677" spans="1:3" x14ac:dyDescent="0.25">
      <c r="A677" t="s">
        <v>163</v>
      </c>
      <c r="B677" t="s">
        <v>88</v>
      </c>
      <c r="C677" t="s">
        <v>100</v>
      </c>
    </row>
    <row r="678" spans="1:3" x14ac:dyDescent="0.25">
      <c r="A678" t="s">
        <v>163</v>
      </c>
      <c r="B678" t="s">
        <v>88</v>
      </c>
      <c r="C678" t="s">
        <v>101</v>
      </c>
    </row>
    <row r="679" spans="1:3" x14ac:dyDescent="0.25">
      <c r="A679" t="s">
        <v>163</v>
      </c>
      <c r="B679" t="s">
        <v>88</v>
      </c>
      <c r="C679" t="s">
        <v>102</v>
      </c>
    </row>
    <row r="680" spans="1:3" x14ac:dyDescent="0.25">
      <c r="A680" t="s">
        <v>163</v>
      </c>
      <c r="B680" t="s">
        <v>88</v>
      </c>
      <c r="C680" t="s">
        <v>103</v>
      </c>
    </row>
    <row r="681" spans="1:3" x14ac:dyDescent="0.25">
      <c r="A681" t="s">
        <v>163</v>
      </c>
      <c r="B681" t="s">
        <v>88</v>
      </c>
      <c r="C681" t="s">
        <v>104</v>
      </c>
    </row>
    <row r="682" spans="1:3" x14ac:dyDescent="0.25">
      <c r="A682" t="s">
        <v>163</v>
      </c>
      <c r="B682" t="s">
        <v>88</v>
      </c>
      <c r="C682" t="s">
        <v>105</v>
      </c>
    </row>
    <row r="683" spans="1:3" x14ac:dyDescent="0.25">
      <c r="A683" t="s">
        <v>163</v>
      </c>
      <c r="B683" t="s">
        <v>88</v>
      </c>
      <c r="C683" t="s">
        <v>106</v>
      </c>
    </row>
    <row r="684" spans="1:3" x14ac:dyDescent="0.25">
      <c r="A684" t="s">
        <v>163</v>
      </c>
      <c r="B684" t="s">
        <v>88</v>
      </c>
      <c r="C684" t="s">
        <v>107</v>
      </c>
    </row>
    <row r="685" spans="1:3" x14ac:dyDescent="0.25">
      <c r="A685" t="s">
        <v>163</v>
      </c>
      <c r="B685" t="s">
        <v>88</v>
      </c>
      <c r="C685" t="s">
        <v>108</v>
      </c>
    </row>
    <row r="686" spans="1:3" x14ac:dyDescent="0.25">
      <c r="A686" t="s">
        <v>163</v>
      </c>
      <c r="B686" t="s">
        <v>88</v>
      </c>
      <c r="C686" t="s">
        <v>109</v>
      </c>
    </row>
    <row r="687" spans="1:3" x14ac:dyDescent="0.25">
      <c r="A687" t="s">
        <v>163</v>
      </c>
      <c r="B687" t="s">
        <v>88</v>
      </c>
      <c r="C687" t="s">
        <v>110</v>
      </c>
    </row>
    <row r="688" spans="1:3" x14ac:dyDescent="0.25">
      <c r="A688" t="s">
        <v>163</v>
      </c>
      <c r="B688" t="s">
        <v>53</v>
      </c>
      <c r="C688" t="s">
        <v>111</v>
      </c>
    </row>
    <row r="689" spans="1:3" x14ac:dyDescent="0.25">
      <c r="A689" t="s">
        <v>163</v>
      </c>
      <c r="B689" t="s">
        <v>113</v>
      </c>
      <c r="C689" t="s">
        <v>112</v>
      </c>
    </row>
    <row r="690" spans="1:3" x14ac:dyDescent="0.25">
      <c r="A690" t="s">
        <v>163</v>
      </c>
      <c r="B690" t="s">
        <v>113</v>
      </c>
      <c r="C690" t="s">
        <v>114</v>
      </c>
    </row>
    <row r="691" spans="1:3" x14ac:dyDescent="0.25">
      <c r="A691" t="s">
        <v>163</v>
      </c>
      <c r="B691" t="s">
        <v>113</v>
      </c>
      <c r="C691" t="s">
        <v>115</v>
      </c>
    </row>
    <row r="692" spans="1:3" x14ac:dyDescent="0.25">
      <c r="A692" t="s">
        <v>163</v>
      </c>
      <c r="B692" t="s">
        <v>113</v>
      </c>
      <c r="C692" t="s">
        <v>116</v>
      </c>
    </row>
    <row r="693" spans="1:3" x14ac:dyDescent="0.25">
      <c r="A693" t="s">
        <v>163</v>
      </c>
      <c r="B693" t="s">
        <v>113</v>
      </c>
      <c r="C693" t="s">
        <v>117</v>
      </c>
    </row>
    <row r="694" spans="1:3" x14ac:dyDescent="0.25">
      <c r="A694" t="s">
        <v>163</v>
      </c>
      <c r="B694" t="s">
        <v>113</v>
      </c>
      <c r="C694" t="s">
        <v>118</v>
      </c>
    </row>
    <row r="695" spans="1:3" x14ac:dyDescent="0.25">
      <c r="A695" t="s">
        <v>163</v>
      </c>
      <c r="B695" t="s">
        <v>113</v>
      </c>
      <c r="C695" t="s">
        <v>119</v>
      </c>
    </row>
    <row r="696" spans="1:3" x14ac:dyDescent="0.25">
      <c r="A696" t="s">
        <v>163</v>
      </c>
      <c r="B696" t="s">
        <v>113</v>
      </c>
      <c r="C696" t="s">
        <v>120</v>
      </c>
    </row>
    <row r="697" spans="1:3" x14ac:dyDescent="0.25">
      <c r="A697" t="s">
        <v>163</v>
      </c>
      <c r="B697" t="s">
        <v>121</v>
      </c>
      <c r="C697" t="s">
        <v>94</v>
      </c>
    </row>
    <row r="698" spans="1:3" x14ac:dyDescent="0.25">
      <c r="A698" t="s">
        <v>163</v>
      </c>
      <c r="B698" t="s">
        <v>121</v>
      </c>
      <c r="C698" t="s">
        <v>99</v>
      </c>
    </row>
    <row r="699" spans="1:3" x14ac:dyDescent="0.25">
      <c r="A699" t="s">
        <v>163</v>
      </c>
      <c r="B699" t="s">
        <v>121</v>
      </c>
      <c r="C699" t="s">
        <v>122</v>
      </c>
    </row>
    <row r="700" spans="1:3" x14ac:dyDescent="0.25">
      <c r="A700" t="s">
        <v>163</v>
      </c>
      <c r="B700" t="s">
        <v>121</v>
      </c>
      <c r="C700" t="s">
        <v>92</v>
      </c>
    </row>
    <row r="701" spans="1:3" x14ac:dyDescent="0.25">
      <c r="A701" t="s">
        <v>163</v>
      </c>
      <c r="B701" t="s">
        <v>121</v>
      </c>
      <c r="C701" t="s">
        <v>100</v>
      </c>
    </row>
    <row r="702" spans="1:3" x14ac:dyDescent="0.25">
      <c r="A702" t="s">
        <v>163</v>
      </c>
      <c r="B702" t="s">
        <v>121</v>
      </c>
      <c r="C702" t="s">
        <v>101</v>
      </c>
    </row>
    <row r="703" spans="1:3" x14ac:dyDescent="0.25">
      <c r="A703" t="s">
        <v>163</v>
      </c>
      <c r="B703" t="s">
        <v>121</v>
      </c>
      <c r="C703" t="s">
        <v>108</v>
      </c>
    </row>
    <row r="704" spans="1:3" x14ac:dyDescent="0.25">
      <c r="A704" t="s">
        <v>163</v>
      </c>
      <c r="B704" t="s">
        <v>121</v>
      </c>
      <c r="C704" t="s">
        <v>123</v>
      </c>
    </row>
    <row r="705" spans="1:3" x14ac:dyDescent="0.25">
      <c r="A705" t="s">
        <v>163</v>
      </c>
      <c r="B705" t="s">
        <v>121</v>
      </c>
      <c r="C705" t="s">
        <v>124</v>
      </c>
    </row>
    <row r="706" spans="1:3" x14ac:dyDescent="0.25">
      <c r="A706" t="s">
        <v>163</v>
      </c>
      <c r="B706" t="s">
        <v>121</v>
      </c>
      <c r="C706" t="s">
        <v>125</v>
      </c>
    </row>
    <row r="707" spans="1:3" x14ac:dyDescent="0.25">
      <c r="A707" t="s">
        <v>163</v>
      </c>
      <c r="B707" t="s">
        <v>121</v>
      </c>
      <c r="C707" t="s">
        <v>109</v>
      </c>
    </row>
    <row r="708" spans="1:3" x14ac:dyDescent="0.25">
      <c r="A708" t="s">
        <v>163</v>
      </c>
      <c r="B708" t="s">
        <v>121</v>
      </c>
      <c r="C708" t="s">
        <v>87</v>
      </c>
    </row>
    <row r="709" spans="1:3" x14ac:dyDescent="0.25">
      <c r="A709" t="s">
        <v>163</v>
      </c>
      <c r="B709" t="s">
        <v>121</v>
      </c>
      <c r="C709" t="s">
        <v>126</v>
      </c>
    </row>
    <row r="710" spans="1:3" x14ac:dyDescent="0.25">
      <c r="A710" t="s">
        <v>163</v>
      </c>
      <c r="B710" t="s">
        <v>121</v>
      </c>
      <c r="C710" t="s">
        <v>102</v>
      </c>
    </row>
    <row r="711" spans="1:3" x14ac:dyDescent="0.25">
      <c r="A711" t="s">
        <v>163</v>
      </c>
      <c r="B711" t="s">
        <v>121</v>
      </c>
      <c r="C711" t="s">
        <v>103</v>
      </c>
    </row>
    <row r="712" spans="1:3" x14ac:dyDescent="0.25">
      <c r="A712" t="s">
        <v>163</v>
      </c>
      <c r="B712" t="s">
        <v>121</v>
      </c>
      <c r="C712" t="s">
        <v>127</v>
      </c>
    </row>
    <row r="713" spans="1:3" x14ac:dyDescent="0.25">
      <c r="A713" t="s">
        <v>163</v>
      </c>
      <c r="B713" t="s">
        <v>121</v>
      </c>
      <c r="C713" t="s">
        <v>89</v>
      </c>
    </row>
    <row r="714" spans="1:3" x14ac:dyDescent="0.25">
      <c r="A714" t="s">
        <v>163</v>
      </c>
      <c r="B714" t="s">
        <v>121</v>
      </c>
      <c r="C714" t="s">
        <v>128</v>
      </c>
    </row>
    <row r="715" spans="1:3" x14ac:dyDescent="0.25">
      <c r="A715" t="s">
        <v>163</v>
      </c>
      <c r="B715" t="s">
        <v>121</v>
      </c>
      <c r="C715" t="s">
        <v>129</v>
      </c>
    </row>
    <row r="716" spans="1:3" x14ac:dyDescent="0.25">
      <c r="A716" t="s">
        <v>163</v>
      </c>
      <c r="B716" t="s">
        <v>121</v>
      </c>
      <c r="C716" t="s">
        <v>97</v>
      </c>
    </row>
    <row r="717" spans="1:3" x14ac:dyDescent="0.25">
      <c r="A717" t="s">
        <v>163</v>
      </c>
      <c r="B717" t="s">
        <v>121</v>
      </c>
      <c r="C717" t="s">
        <v>96</v>
      </c>
    </row>
    <row r="718" spans="1:3" x14ac:dyDescent="0.25">
      <c r="A718" t="s">
        <v>163</v>
      </c>
      <c r="B718" t="s">
        <v>45</v>
      </c>
      <c r="C718" t="s">
        <v>130</v>
      </c>
    </row>
    <row r="719" spans="1:3" x14ac:dyDescent="0.25">
      <c r="A719" t="s">
        <v>163</v>
      </c>
      <c r="B719" t="s">
        <v>45</v>
      </c>
      <c r="C719" t="s">
        <v>131</v>
      </c>
    </row>
    <row r="720" spans="1:3" x14ac:dyDescent="0.25">
      <c r="A720" t="s">
        <v>163</v>
      </c>
      <c r="B720" t="s">
        <v>45</v>
      </c>
      <c r="C720" t="s">
        <v>132</v>
      </c>
    </row>
    <row r="721" spans="1:3" x14ac:dyDescent="0.25">
      <c r="A721" t="s">
        <v>163</v>
      </c>
      <c r="B721" t="s">
        <v>134</v>
      </c>
      <c r="C721" t="s">
        <v>133</v>
      </c>
    </row>
    <row r="722" spans="1:3" x14ac:dyDescent="0.25">
      <c r="A722" t="s">
        <v>163</v>
      </c>
      <c r="B722" t="s">
        <v>134</v>
      </c>
      <c r="C722" t="s">
        <v>135</v>
      </c>
    </row>
    <row r="723" spans="1:3" x14ac:dyDescent="0.25">
      <c r="A723" t="s">
        <v>163</v>
      </c>
      <c r="B723" t="s">
        <v>134</v>
      </c>
      <c r="C723" t="s">
        <v>136</v>
      </c>
    </row>
    <row r="724" spans="1:3" x14ac:dyDescent="0.25">
      <c r="A724" t="s">
        <v>163</v>
      </c>
      <c r="B724" t="s">
        <v>134</v>
      </c>
      <c r="C724" t="s">
        <v>137</v>
      </c>
    </row>
    <row r="725" spans="1:3" x14ac:dyDescent="0.25">
      <c r="A725" t="s">
        <v>163</v>
      </c>
      <c r="B725" t="s">
        <v>134</v>
      </c>
      <c r="C725" t="s">
        <v>138</v>
      </c>
    </row>
    <row r="726" spans="1:3" x14ac:dyDescent="0.25">
      <c r="A726" t="s">
        <v>163</v>
      </c>
      <c r="B726" t="s">
        <v>134</v>
      </c>
      <c r="C726" t="s">
        <v>140</v>
      </c>
    </row>
    <row r="727" spans="1:3" x14ac:dyDescent="0.25">
      <c r="A727" t="s">
        <v>163</v>
      </c>
      <c r="B727" t="s">
        <v>134</v>
      </c>
      <c r="C727" t="s">
        <v>112</v>
      </c>
    </row>
    <row r="728" spans="1:3" x14ac:dyDescent="0.25">
      <c r="A728" t="s">
        <v>163</v>
      </c>
      <c r="B728" t="s">
        <v>134</v>
      </c>
      <c r="C728" t="s">
        <v>141</v>
      </c>
    </row>
    <row r="729" spans="1:3" x14ac:dyDescent="0.25">
      <c r="A729" t="s">
        <v>163</v>
      </c>
      <c r="B729" t="s">
        <v>134</v>
      </c>
      <c r="C729" t="s">
        <v>142</v>
      </c>
    </row>
    <row r="730" spans="1:3" x14ac:dyDescent="0.25">
      <c r="A730" t="s">
        <v>163</v>
      </c>
      <c r="B730" t="s">
        <v>134</v>
      </c>
      <c r="C730" t="s">
        <v>143</v>
      </c>
    </row>
    <row r="731" spans="1:3" x14ac:dyDescent="0.25">
      <c r="A731" t="s">
        <v>163</v>
      </c>
      <c r="B731" t="s">
        <v>134</v>
      </c>
      <c r="C731" t="s">
        <v>144</v>
      </c>
    </row>
    <row r="732" spans="1:3" x14ac:dyDescent="0.25">
      <c r="A732" t="s">
        <v>163</v>
      </c>
      <c r="B732" t="s">
        <v>134</v>
      </c>
      <c r="C732" t="s">
        <v>145</v>
      </c>
    </row>
    <row r="733" spans="1:3" x14ac:dyDescent="0.25">
      <c r="A733" t="s">
        <v>163</v>
      </c>
      <c r="B733" t="s">
        <v>134</v>
      </c>
      <c r="C733" t="s">
        <v>146</v>
      </c>
    </row>
    <row r="734" spans="1:3" x14ac:dyDescent="0.25">
      <c r="A734" t="s">
        <v>163</v>
      </c>
      <c r="B734" t="s">
        <v>134</v>
      </c>
      <c r="C734" t="s">
        <v>147</v>
      </c>
    </row>
    <row r="735" spans="1:3" x14ac:dyDescent="0.25">
      <c r="A735" t="s">
        <v>163</v>
      </c>
      <c r="B735" t="s">
        <v>134</v>
      </c>
      <c r="C735" t="s">
        <v>148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0FDB32EB-C6F9-469E-9C83-8E6A8203D950}">
  <ds:schemaRefs/>
</ds:datastoreItem>
</file>

<file path=customXml/itemProps2.xml><?xml version="1.0" encoding="utf-8"?>
<ds:datastoreItem xmlns:ds="http://schemas.openxmlformats.org/officeDocument/2006/customXml" ds:itemID="{A38F433D-B6A5-46F8-8E48-AD5D08F63D5C}">
  <ds:schemaRefs/>
</ds:datastoreItem>
</file>

<file path=customXml/itemProps3.xml><?xml version="1.0" encoding="utf-8"?>
<ds:datastoreItem xmlns:ds="http://schemas.openxmlformats.org/officeDocument/2006/customXml" ds:itemID="{3E6EC57A-8DCC-451F-95BC-1EDE91858A9C}">
  <ds:schemaRefs/>
</ds:datastoreItem>
</file>

<file path=customXml/itemProps4.xml><?xml version="1.0" encoding="utf-8"?>
<ds:datastoreItem xmlns:ds="http://schemas.openxmlformats.org/officeDocument/2006/customXml" ds:itemID="{035E197F-66FB-4886-8EA9-CAB8A9DD1F86}">
  <ds:schemaRefs/>
</ds:datastoreItem>
</file>

<file path=customXml/itemProps5.xml><?xml version="1.0" encoding="utf-8"?>
<ds:datastoreItem xmlns:ds="http://schemas.openxmlformats.org/officeDocument/2006/customXml" ds:itemID="{22EC1C85-2FCE-44F6-90F6-602F5335FA79}">
  <ds:schemaRefs/>
</ds:datastoreItem>
</file>

<file path=customXml/itemProps6.xml><?xml version="1.0" encoding="utf-8"?>
<ds:datastoreItem xmlns:ds="http://schemas.openxmlformats.org/officeDocument/2006/customXml" ds:itemID="{0B3FED25-5644-4EAE-BE88-DEEE3C85ED26}">
  <ds:schemaRefs/>
</ds:datastoreItem>
</file>

<file path=customXml/itemProps7.xml><?xml version="1.0" encoding="utf-8"?>
<ds:datastoreItem xmlns:ds="http://schemas.openxmlformats.org/officeDocument/2006/customXml" ds:itemID="{5C05B7FD-00E8-497B-A968-AFEEC4C3038E}">
  <ds:schemaRefs/>
</ds:datastoreItem>
</file>

<file path=customXml/itemProps8.xml><?xml version="1.0" encoding="utf-8"?>
<ds:datastoreItem xmlns:ds="http://schemas.openxmlformats.org/officeDocument/2006/customXml" ds:itemID="{B0D08F51-EB4B-4D59-9180-63FBFCD0FCBF}">
  <ds:schemaRefs/>
</ds:datastoreItem>
</file>

<file path=customXml/itemProps9.xml><?xml version="1.0" encoding="utf-8"?>
<ds:datastoreItem xmlns:ds="http://schemas.openxmlformats.org/officeDocument/2006/customXml" ds:itemID="{2C1B7A91-3AD1-4CB5-A800-4BC105324420}">
  <ds:schemaRefs/>
</ds:datastoreItem>
</file>

<file path=customXml/itemProps10.xml><?xml version="1.0" encoding="utf-8"?>
<ds:datastoreItem xmlns:ds="http://schemas.openxmlformats.org/officeDocument/2006/customXml" ds:itemID="{B6C373D9-5C18-435F-A9E1-A1C4C797BDF9}">
  <ds:schemaRefs/>
</ds:datastoreItem>
</file>

<file path=customXml/itemProps11.xml><?xml version="1.0" encoding="utf-8"?>
<ds:datastoreItem xmlns:ds="http://schemas.openxmlformats.org/officeDocument/2006/customXml" ds:itemID="{1098B0BB-4EC1-4608-BB84-8F67A78728DB}">
  <ds:schemaRefs/>
</ds:datastoreItem>
</file>

<file path=customXml/itemProps12.xml><?xml version="1.0" encoding="utf-8"?>
<ds:datastoreItem xmlns:ds="http://schemas.openxmlformats.org/officeDocument/2006/customXml" ds:itemID="{35BF3791-AC36-40B6-8221-B944A2B4B474}">
  <ds:schemaRefs/>
</ds:datastoreItem>
</file>

<file path=customXml/itemProps13.xml><?xml version="1.0" encoding="utf-8"?>
<ds:datastoreItem xmlns:ds="http://schemas.openxmlformats.org/officeDocument/2006/customXml" ds:itemID="{FBC590C9-DA43-4352-BF28-D5A5FEE2FC69}">
  <ds:schemaRefs/>
</ds:datastoreItem>
</file>

<file path=customXml/itemProps14.xml><?xml version="1.0" encoding="utf-8"?>
<ds:datastoreItem xmlns:ds="http://schemas.openxmlformats.org/officeDocument/2006/customXml" ds:itemID="{31EB7792-4B18-4A1D-9E69-47250332656D}">
  <ds:schemaRefs/>
</ds:datastoreItem>
</file>

<file path=customXml/itemProps15.xml><?xml version="1.0" encoding="utf-8"?>
<ds:datastoreItem xmlns:ds="http://schemas.openxmlformats.org/officeDocument/2006/customXml" ds:itemID="{A5E8A946-2E34-4B8D-BA29-F03E5D076821}">
  <ds:schemaRefs/>
</ds:datastoreItem>
</file>

<file path=customXml/itemProps16.xml><?xml version="1.0" encoding="utf-8"?>
<ds:datastoreItem xmlns:ds="http://schemas.openxmlformats.org/officeDocument/2006/customXml" ds:itemID="{B7976053-E576-46F4-80C3-91E082E868FA}">
  <ds:schemaRefs/>
</ds:datastoreItem>
</file>

<file path=customXml/itemProps17.xml><?xml version="1.0" encoding="utf-8"?>
<ds:datastoreItem xmlns:ds="http://schemas.openxmlformats.org/officeDocument/2006/customXml" ds:itemID="{DF1523BC-C448-4441-8608-DD985BD0E48F}">
  <ds:schemaRefs/>
</ds:datastoreItem>
</file>

<file path=customXml/itemProps18.xml><?xml version="1.0" encoding="utf-8"?>
<ds:datastoreItem xmlns:ds="http://schemas.openxmlformats.org/officeDocument/2006/customXml" ds:itemID="{05F6E5A8-A051-4D74-BC68-6CFD53A82B5B}">
  <ds:schemaRefs/>
</ds:datastoreItem>
</file>

<file path=customXml/itemProps19.xml><?xml version="1.0" encoding="utf-8"?>
<ds:datastoreItem xmlns:ds="http://schemas.openxmlformats.org/officeDocument/2006/customXml" ds:itemID="{D861D1C7-8F3B-4C54-822F-072E623298AF}">
  <ds:schemaRefs/>
</ds:datastoreItem>
</file>

<file path=customXml/itemProps20.xml><?xml version="1.0" encoding="utf-8"?>
<ds:datastoreItem xmlns:ds="http://schemas.openxmlformats.org/officeDocument/2006/customXml" ds:itemID="{161F7405-3A55-4B71-B31D-2AD43BFF4BB4}">
  <ds:schemaRefs/>
</ds:datastoreItem>
</file>

<file path=customXml/itemProps21.xml><?xml version="1.0" encoding="utf-8"?>
<ds:datastoreItem xmlns:ds="http://schemas.openxmlformats.org/officeDocument/2006/customXml" ds:itemID="{2F8F1561-6CF0-462F-8796-BCEE3FC40B73}">
  <ds:schemaRefs/>
</ds:datastoreItem>
</file>

<file path=customXml/itemProps22.xml><?xml version="1.0" encoding="utf-8"?>
<ds:datastoreItem xmlns:ds="http://schemas.openxmlformats.org/officeDocument/2006/customXml" ds:itemID="{B7674C1D-B503-4232-B999-7696EE2084FE}">
  <ds:schemaRefs/>
</ds:datastoreItem>
</file>

<file path=customXml/itemProps23.xml><?xml version="1.0" encoding="utf-8"?>
<ds:datastoreItem xmlns:ds="http://schemas.openxmlformats.org/officeDocument/2006/customXml" ds:itemID="{3068F4AE-7D46-4918-9349-3FBDD85D29FC}">
  <ds:schemaRefs/>
</ds:datastoreItem>
</file>

<file path=customXml/itemProps24.xml><?xml version="1.0" encoding="utf-8"?>
<ds:datastoreItem xmlns:ds="http://schemas.openxmlformats.org/officeDocument/2006/customXml" ds:itemID="{6BE9C1C2-B0C9-4215-8C37-F795CE45C8AF}">
  <ds:schemaRefs/>
</ds:datastoreItem>
</file>

<file path=customXml/itemProps25.xml><?xml version="1.0" encoding="utf-8"?>
<ds:datastoreItem xmlns:ds="http://schemas.openxmlformats.org/officeDocument/2006/customXml" ds:itemID="{9E44042D-23B0-4137-986C-DB18EABD0E52}">
  <ds:schemaRefs/>
</ds:datastoreItem>
</file>

<file path=customXml/itemProps26.xml><?xml version="1.0" encoding="utf-8"?>
<ds:datastoreItem xmlns:ds="http://schemas.openxmlformats.org/officeDocument/2006/customXml" ds:itemID="{6DB34F29-A4F6-438B-8854-66DA8F4D90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51</vt:i4>
      </vt:variant>
    </vt:vector>
  </HeadingPairs>
  <TitlesOfParts>
    <vt:vector size="64" baseType="lpstr">
      <vt:lpstr>dash Inv</vt:lpstr>
      <vt:lpstr>dash Ent</vt:lpstr>
      <vt:lpstr>dash Sal</vt:lpstr>
      <vt:lpstr>notaMov</vt:lpstr>
      <vt:lpstr>Prod</vt:lpstr>
      <vt:lpstr>Prov</vt:lpstr>
      <vt:lpstr>Suc</vt:lpstr>
      <vt:lpstr>Ars</vt:lpstr>
      <vt:lpstr>tMov</vt:lpstr>
      <vt:lpstr>hMov</vt:lpstr>
      <vt:lpstr>aux lotes</vt:lpstr>
      <vt:lpstr>aux ent</vt:lpstr>
      <vt:lpstr>aux sal</vt:lpstr>
      <vt:lpstr>asalAr</vt:lpstr>
      <vt:lpstr>asalCant</vt:lpstr>
      <vt:lpstr>asalProd</vt:lpstr>
      <vt:lpstr>asalSuc</vt:lpstr>
      <vt:lpstr>aux_cols</vt:lpstr>
      <vt:lpstr>auxLotCantDisp</vt:lpstr>
      <vt:lpstr>auxLotCantDisp_r</vt:lpstr>
      <vt:lpstr>auxLotCostDisp</vt:lpstr>
      <vt:lpstr>auxLotCostDisp_r</vt:lpstr>
      <vt:lpstr>auxLotDisp</vt:lpstr>
      <vt:lpstr>auxLotDisp_r</vt:lpstr>
      <vt:lpstr>auxProdDisp</vt:lpstr>
      <vt:lpstr>auxProdDisp_r</vt:lpstr>
      <vt:lpstr>bas</vt:lpstr>
      <vt:lpstr>cantLote</vt:lpstr>
      <vt:lpstr>cantLote_r</vt:lpstr>
      <vt:lpstr>cero</vt:lpstr>
      <vt:lpstr>col_CANTIDAD</vt:lpstr>
      <vt:lpstr>col_COSTO_UNITARIO</vt:lpstr>
      <vt:lpstr>col_FECHA_CAD</vt:lpstr>
      <vt:lpstr>col_LOTE</vt:lpstr>
      <vt:lpstr>col_PRODUCTO</vt:lpstr>
      <vt:lpstr>col_UNIDAD</vt:lpstr>
      <vt:lpstr>costLote</vt:lpstr>
      <vt:lpstr>costLote_r</vt:lpstr>
      <vt:lpstr>e_CANTIDAD</vt:lpstr>
      <vt:lpstr>e_COSTO_UNITARIO</vt:lpstr>
      <vt:lpstr>e_FECHA_CAD</vt:lpstr>
      <vt:lpstr>e_LOTE</vt:lpstr>
      <vt:lpstr>e_PRODUCTO</vt:lpstr>
      <vt:lpstr>e_UNIDAD</vt:lpstr>
      <vt:lpstr>enc</vt:lpstr>
      <vt:lpstr>grl</vt:lpstr>
      <vt:lpstr>iniarea</vt:lpstr>
      <vt:lpstr>inihmov</vt:lpstr>
      <vt:lpstr>iniprod</vt:lpstr>
      <vt:lpstr>iniprov</vt:lpstr>
      <vt:lpstr>inisuc</vt:lpstr>
      <vt:lpstr>initmov</vt:lpstr>
      <vt:lpstr>nFECHA</vt:lpstr>
      <vt:lpstr>nINOUT</vt:lpstr>
      <vt:lpstr>nPROVEEDOR</vt:lpstr>
      <vt:lpstr>nSUCURSAL</vt:lpstr>
      <vt:lpstr>nTIPO_MOV</vt:lpstr>
      <vt:lpstr>penc</vt:lpstr>
      <vt:lpstr>pgrl</vt:lpstr>
      <vt:lpstr>productoLote</vt:lpstr>
      <vt:lpstr>productoLote_r</vt:lpstr>
      <vt:lpstr>unicLotes</vt:lpstr>
      <vt:lpstr>unicLotes_r</vt:lpstr>
      <vt:lpstr>uno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 Fuentes</dc:creator>
  <cp:lastModifiedBy>Pablo Fuentes</cp:lastModifiedBy>
  <dcterms:created xsi:type="dcterms:W3CDTF">2022-06-11T14:56:22Z</dcterms:created>
  <dcterms:modified xsi:type="dcterms:W3CDTF">2022-07-22T14:40:43Z</dcterms:modified>
</cp:coreProperties>
</file>