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pivotTables/pivotTable3.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d.docs.live.net/72382893c4084e1c/Documentos/PROG/vba grj/inventory/inventory/"/>
    </mc:Choice>
  </mc:AlternateContent>
  <xr:revisionPtr revIDLastSave="0" documentId="14_{9CF19DA0-6B2A-4601-BA35-78C88F9DFAAD}" xr6:coauthVersionLast="47" xr6:coauthVersionMax="47" xr10:uidLastSave="{00000000-0000-0000-0000-000000000000}"/>
  <bookViews>
    <workbookView xWindow="-120" yWindow="-120" windowWidth="20730" windowHeight="11160" tabRatio="836" firstSheet="1" activeTab="1" xr2:uid="{D0EDAFDB-9B1C-42B7-84F5-A604B73174C5}"/>
  </bookViews>
  <sheets>
    <sheet name="dash Inv" sheetId="5" r:id="rId1"/>
    <sheet name="dash Ent" sheetId="11" r:id="rId2"/>
    <sheet name="dash Sal" sheetId="10" r:id="rId3"/>
    <sheet name="notaMov" sheetId="3" r:id="rId4"/>
    <sheet name="Prod" sheetId="1" r:id="rId5"/>
    <sheet name="Prov" sheetId="7" r:id="rId6"/>
    <sheet name="Suc" sheetId="8" r:id="rId7"/>
    <sheet name="Ars" sheetId="6" r:id="rId8"/>
    <sheet name="tMov" sheetId="4" r:id="rId9"/>
    <sheet name="hMov" sheetId="2" r:id="rId10"/>
    <sheet name="aux lotes" sheetId="9" state="hidden" r:id="rId11"/>
  </sheets>
  <functionGroups builtInGroupCount="19"/>
  <definedNames>
    <definedName name="aux_cols">'aux lotes'!$N$1:$N$8</definedName>
    <definedName name="auxLotCantDisp">'aux lotes'!$H$2</definedName>
    <definedName name="auxLotCantDisp_r">'aux lotes'!$H$2:$H$6</definedName>
    <definedName name="auxLotCostDisp">'aux lotes'!$I$2</definedName>
    <definedName name="auxLotCostDisp_r">'aux lotes'!$I$2:$I$6</definedName>
    <definedName name="auxLotDisp">'aux lotes'!$F$2</definedName>
    <definedName name="auxLotDisp_r">'aux lotes'!$F$2:$F$6</definedName>
    <definedName name="auxProdDisp">'aux lotes'!$G$2</definedName>
    <definedName name="auxProdDisp_r">'aux lotes'!$G$2:$G$6</definedName>
    <definedName name="bas">notaMov!$A$9:$F$9</definedName>
    <definedName name="cantLote">'aux lotes'!$C$2</definedName>
    <definedName name="cantLote_r">'aux lotes'!$C$2:$C$10</definedName>
    <definedName name="cero">'aux lotes'!$L$1</definedName>
    <definedName name="col_CANTIDAD">notaMov!$D$9</definedName>
    <definedName name="col_COSTO_UNITARIO">notaMov!$F$9</definedName>
    <definedName name="col_FECHA_CAD">notaMov!$E$9</definedName>
    <definedName name="col_LOTE">notaMov!$C$9</definedName>
    <definedName name="col_PRODUCTO">notaMov!$A$9</definedName>
    <definedName name="col_UNIDAD">notaMov!$B$9</definedName>
    <definedName name="costLote">'aux lotes'!$D$2</definedName>
    <definedName name="costLote_r">'aux lotes'!$D$2:$D$10</definedName>
    <definedName name="e_CANTIDAD">notaMov!$D$8</definedName>
    <definedName name="e_COSTO_UNITARIO">notaMov!$F$8</definedName>
    <definedName name="e_FECHA_CAD">notaMov!$E$8</definedName>
    <definedName name="e_LOTE">notaMov!$C$8</definedName>
    <definedName name="e_PRODUCTO">notaMov!$A$8</definedName>
    <definedName name="e_UNIDAD">notaMov!$B$8</definedName>
    <definedName name="enc">notaMov!$A$8:$F$8</definedName>
    <definedName name="grl">notaMov!$A$2:$A$6</definedName>
    <definedName name="iniarea">ar[[#Headers],[AREA]]</definedName>
    <definedName name="inihmov">hmov[[#Headers],[FECHA]]</definedName>
    <definedName name="iniprod">prod[[#Headers],[PRODUCTO]]</definedName>
    <definedName name="iniprov">prov[[#Headers],[PROVEEDOR]]</definedName>
    <definedName name="inisuc">suc[[#Headers],[SUCURSAL]]</definedName>
    <definedName name="initmov">tmov[[#Headers],[TIPO]]</definedName>
    <definedName name="nFECHA">notaMov!$B$2</definedName>
    <definedName name="nINOUT">notaMov!$B$6</definedName>
    <definedName name="nPROVEEDOR">notaMov!$B$4</definedName>
    <definedName name="nSUCURSAL">notaMov!$B$3</definedName>
    <definedName name="nTIPO_MOV">notaMov!$B$5</definedName>
    <definedName name="penc">notaMov!$A$8</definedName>
    <definedName name="pgrl">notaMov!$A$2</definedName>
    <definedName name="productoLote">'aux lotes'!$B$2</definedName>
    <definedName name="productoLote_r">'aux lotes'!$B$2:$B$10</definedName>
    <definedName name="unicLotes">'aux lotes'!$A$2</definedName>
    <definedName name="unicLotes_r">'aux lotes'!$A$2:$A$10</definedName>
    <definedName name="uno">'aux lotes'!$K$1</definedName>
  </definedNames>
  <calcPr calcId="191029"/>
  <pivotCaches>
    <pivotCache cacheId="24" r:id="rId12"/>
    <pivotCache cacheId="25" r:id="rId13"/>
    <pivotCache cacheId="26" r:id="rId14"/>
  </pivotCaches>
  <fileRecoveryPr repairLoad="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mov_9751f634-ec00-4ede-96fd-a3595885ee1f" name="hmov" connection="Consulta - hmov"/>
          <x15:modelTable id="prod_7034fbb2-eb06-4e3f-aec3-fac7e9847096" name="prod" connection="Consulta - prod"/>
          <x15:modelTable id="prov_a98ea2fd-e3db-4d95-b261-62decb2f3f17" name="prov" connection="Consulta - prov"/>
          <x15:modelTable id="suc_87a79418-0728-4155-8892-dc7bdd3727d6" name="suc" connection="Consulta - suc"/>
          <x15:modelTable id="tmov_db33d8d4-503a-4498-98e1-db4341ae9605" name="tmov" connection="Consulta - tmov"/>
          <x15:modelTable id="area_570ff796-2aad-4bc5-8b93-df80be0c76bd" name="area" connection="Consulta - area"/>
        </x15:modelTables>
        <x15:modelRelationships>
          <x15:modelRelationship fromTable="hmov" fromColumn="IDPROVEEDOR" toTable="prov" toColumn="IDPROVEEDOR"/>
          <x15:modelRelationship fromTable="hmov" fromColumn="IDSUCURSAL" toTable="suc" toColumn="IDSUCURSAL"/>
          <x15:modelRelationship fromTable="hmov" fromColumn="IDTIPO" toTable="tmov" toColumn="IDTIPO"/>
          <x15:modelRelationship fromTable="hmov" fromColumn="IDPRODUCTO" toTable="prod" toColumn="IDPRO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5" i="1" l="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2" i="1" l="1"/>
  <c r="E3" i="1"/>
  <c r="E4" i="1"/>
  <c r="B6"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4BA9DAC-AF46-44E8-88BE-D21BEB0B1A75}" name="Consulta - area" description="Conexión a la consulta 'area' en el libro." type="100" refreshedVersion="8" minRefreshableVersion="5">
    <extLst>
      <ext xmlns:x15="http://schemas.microsoft.com/office/spreadsheetml/2010/11/main" uri="{DE250136-89BD-433C-8126-D09CA5730AF9}">
        <x15:connection id="7599d1e6-8099-4c99-a6ef-733e4b16725b"/>
      </ext>
    </extLst>
  </connection>
  <connection id="2" xr16:uid="{2836F233-3055-4160-BB59-2E8EB94DC5E4}" name="Consulta - hmov" description="Conexión a la consulta 'hmov' en el libro." type="100" refreshedVersion="8" minRefreshableVersion="5">
    <extLst>
      <ext xmlns:x15="http://schemas.microsoft.com/office/spreadsheetml/2010/11/main" uri="{DE250136-89BD-433C-8126-D09CA5730AF9}">
        <x15:connection id="f19c7152-6fb8-4ae9-a891-5d19b69fb43d"/>
      </ext>
    </extLst>
  </connection>
  <connection id="3" xr16:uid="{54343B45-C44B-452B-9C3F-5E1E37D6ADBC}" name="Consulta - prod" description="Conexión a la consulta 'prod' en el libro." type="100" refreshedVersion="8" minRefreshableVersion="5">
    <extLst>
      <ext xmlns:x15="http://schemas.microsoft.com/office/spreadsheetml/2010/11/main" uri="{DE250136-89BD-433C-8126-D09CA5730AF9}">
        <x15:connection id="75d43440-46bb-4f03-8722-2ebf51a69924"/>
      </ext>
    </extLst>
  </connection>
  <connection id="4" xr16:uid="{9653FD04-6A90-4FF7-9C82-5FAC6D502196}" name="Consulta - prov" description="Conexión a la consulta 'prov' en el libro." type="100" refreshedVersion="8" minRefreshableVersion="5">
    <extLst>
      <ext xmlns:x15="http://schemas.microsoft.com/office/spreadsheetml/2010/11/main" uri="{DE250136-89BD-433C-8126-D09CA5730AF9}">
        <x15:connection id="4e59f9d7-f345-4a2d-aaae-9430653cbc8d"/>
      </ext>
    </extLst>
  </connection>
  <connection id="5" xr16:uid="{F6639F0F-142B-4372-86FF-6AB2DE46A056}" name="Consulta - suc" description="Conexión a la consulta 'suc' en el libro." type="100" refreshedVersion="8" minRefreshableVersion="5">
    <extLst>
      <ext xmlns:x15="http://schemas.microsoft.com/office/spreadsheetml/2010/11/main" uri="{DE250136-89BD-433C-8126-D09CA5730AF9}">
        <x15:connection id="8d0fbb6f-465d-4cc3-9aa4-1cd2f73ca07e"/>
      </ext>
    </extLst>
  </connection>
  <connection id="6" xr16:uid="{8C2AD55F-3169-4171-AA42-966D6271F506}" name="Consulta - tmov" description="Conexión a la consulta 'tmov' en el libro." type="100" refreshedVersion="8" minRefreshableVersion="5">
    <extLst>
      <ext xmlns:x15="http://schemas.microsoft.com/office/spreadsheetml/2010/11/main" uri="{DE250136-89BD-433C-8126-D09CA5730AF9}">
        <x15:connection id="2e7afc23-7085-4612-acee-5c0d1d0a2ebf"/>
      </ext>
    </extLst>
  </connection>
  <connection id="7" xr16:uid="{487773C1-D733-4E6E-A89F-8737B8AEBA2A}"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hmov].[col_existencias].&amp;[3],[hmov].[col_existencias].&amp;[23],[hmov].[col_existencias].&amp;[39]}"/>
    <s v="{[prov].[IDPROVEEDOR].&amp;[1],[prov].[IDPROVEEDOR].&amp;[2],[prov].[IDPROVEEDOR].&amp;[3],[prov].[IDPROVEEDOR].&amp;[4]}"/>
    <s v="{[suc].[IDSUCURSAL].&amp;[1],[suc].[IDSUCURSAL].&amp;[2],[suc].[IDSUCURSAL].&amp;[3]}"/>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<sst xmlns="http://schemas.openxmlformats.org/spreadsheetml/2006/main" count="464" uniqueCount="190">
  <si>
    <t>compra</t>
  </si>
  <si>
    <t>merma</t>
  </si>
  <si>
    <t>Total general</t>
  </si>
  <si>
    <t>col_existencias</t>
  </si>
  <si>
    <t>traspaso</t>
  </si>
  <si>
    <t/>
  </si>
  <si>
    <t>ValorTraspaso</t>
  </si>
  <si>
    <t>CantidadTraspaso</t>
  </si>
  <si>
    <t>FrecuenciaTraspaso</t>
  </si>
  <si>
    <t>CantidadExistente</t>
  </si>
  <si>
    <t>VidaPromedio</t>
  </si>
  <si>
    <t>ValorExistente</t>
  </si>
  <si>
    <t>ValorEntrada</t>
  </si>
  <si>
    <t>na</t>
  </si>
  <si>
    <t>FECHA</t>
  </si>
  <si>
    <t>SUCURSAL</t>
  </si>
  <si>
    <t>PROVEEDOR</t>
  </si>
  <si>
    <t>TIPO_MOV</t>
  </si>
  <si>
    <t>INOUT</t>
  </si>
  <si>
    <t>PRODUCTO</t>
  </si>
  <si>
    <t>UNIDAD</t>
  </si>
  <si>
    <t>LOTE</t>
  </si>
  <si>
    <t>CANTIDAD</t>
  </si>
  <si>
    <t>FECHA_CAD</t>
  </si>
  <si>
    <t>COSTO_UNITARIO</t>
  </si>
  <si>
    <t>AREA</t>
  </si>
  <si>
    <t>IDPROD</t>
  </si>
  <si>
    <t>EXISTENCIA</t>
  </si>
  <si>
    <t>IDPROVEEDOR</t>
  </si>
  <si>
    <t>IDSUCURSAL</t>
  </si>
  <si>
    <t>IDAREA</t>
  </si>
  <si>
    <t>TIPO</t>
  </si>
  <si>
    <t>IDTIPO</t>
  </si>
  <si>
    <t>IDMOV</t>
  </si>
  <si>
    <t>IDPRODUCTO</t>
  </si>
  <si>
    <t>COSTO</t>
  </si>
  <si>
    <t>a2</t>
  </si>
  <si>
    <t>unicLotes</t>
  </si>
  <si>
    <t>productoLote</t>
  </si>
  <si>
    <t>cantLote</t>
  </si>
  <si>
    <t>costLote</t>
  </si>
  <si>
    <t>auxLotDisp</t>
  </si>
  <si>
    <t>auxProdDisp</t>
  </si>
  <si>
    <t>auxLotCantDisp</t>
  </si>
  <si>
    <t>auxLotCostDisp</t>
  </si>
  <si>
    <t>unicLotes_r</t>
  </si>
  <si>
    <t>productoLote_r</t>
  </si>
  <si>
    <t>cantLote_r</t>
  </si>
  <si>
    <t>costLote_r</t>
  </si>
  <si>
    <t>auxLotDisp_r</t>
  </si>
  <si>
    <t>auxProdDisp_r</t>
  </si>
  <si>
    <t>auxLotCantDisp_r</t>
  </si>
  <si>
    <t>auxLotCostDisp_r</t>
  </si>
  <si>
    <t>MEDIOS DE TRANSPORTE</t>
  </si>
  <si>
    <t>PAQUETE</t>
  </si>
  <si>
    <t>MICROBIOLOGIA</t>
  </si>
  <si>
    <t>TUBO ROJO</t>
  </si>
  <si>
    <t>TUBOS</t>
  </si>
  <si>
    <t>TUBO AMARILLO</t>
  </si>
  <si>
    <t>TUBO LILA</t>
  </si>
  <si>
    <t>TUBO AZUL</t>
  </si>
  <si>
    <t>FRASCO ESTERIL</t>
  </si>
  <si>
    <t>PIEZA</t>
  </si>
  <si>
    <t>SUPLEMENTOS</t>
  </si>
  <si>
    <t>ALGODÓN</t>
  </si>
  <si>
    <t>BOLSA</t>
  </si>
  <si>
    <t>HOJAS BLANCAS</t>
  </si>
  <si>
    <t>PAPELERIA</t>
  </si>
  <si>
    <t>TINTA 544</t>
  </si>
  <si>
    <t>CINTA ETIQUETADORA</t>
  </si>
  <si>
    <t>ROLLO</t>
  </si>
  <si>
    <t>BOLSA NEGRA CH</t>
  </si>
  <si>
    <t>BOLSA NEGRA G</t>
  </si>
  <si>
    <t>HOJA MEMBRETADA</t>
  </si>
  <si>
    <t>AGUA EMBOTELLADA</t>
  </si>
  <si>
    <t>LANZETAS</t>
  </si>
  <si>
    <t>APLICADORES DE ALGODÓN</t>
  </si>
  <si>
    <t>GUANTES CH</t>
  </si>
  <si>
    <t>GUANTES M</t>
  </si>
  <si>
    <t>GUANTES G</t>
  </si>
  <si>
    <t>JERINGA 3ML AZUL</t>
  </si>
  <si>
    <t>CAJA</t>
  </si>
  <si>
    <t>JERINGAS</t>
  </si>
  <si>
    <t>JERINGA 3ML NARANJA</t>
  </si>
  <si>
    <t>JERINGA 3ML NEGRA</t>
  </si>
  <si>
    <t xml:space="preserve">JERINGA 5ML </t>
  </si>
  <si>
    <t>JERINGA 10ML</t>
  </si>
  <si>
    <t xml:space="preserve">CINTA PAPEL </t>
  </si>
  <si>
    <t>CUADERNO PROFESIONAL</t>
  </si>
  <si>
    <t>CUADERNO CHICO</t>
  </si>
  <si>
    <t>RESISTOL</t>
  </si>
  <si>
    <t>MARCADORES</t>
  </si>
  <si>
    <t>CINTA GRANDE TRANS</t>
  </si>
  <si>
    <t>SHARPIE</t>
  </si>
  <si>
    <t>LAPICERA ROJA</t>
  </si>
  <si>
    <t>LAPICERA NEGRA</t>
  </si>
  <si>
    <t>LAPICERA AZUL</t>
  </si>
  <si>
    <t>AMILASA</t>
  </si>
  <si>
    <t>SPINREACT</t>
  </si>
  <si>
    <t>ALBUMINA</t>
  </si>
  <si>
    <t>TIEMPOS PROTOMBINA</t>
  </si>
  <si>
    <t>BILIS T Y D</t>
  </si>
  <si>
    <t>ACIDO URICO</t>
  </si>
  <si>
    <t>PROTEINAS TOTALES</t>
  </si>
  <si>
    <t>GLUCOSA</t>
  </si>
  <si>
    <t>ANTIGENOS BACTERIANOS</t>
  </si>
  <si>
    <t>TGP</t>
  </si>
  <si>
    <t>TGO</t>
  </si>
  <si>
    <t>UREA</t>
  </si>
  <si>
    <t>CREATININA</t>
  </si>
  <si>
    <t>TRIGLICERIDOS</t>
  </si>
  <si>
    <t>COLESTEROL</t>
  </si>
  <si>
    <t>FOSFATASA ALCALINA</t>
  </si>
  <si>
    <t>LDH</t>
  </si>
  <si>
    <t>FACTOR REUMATOIDE</t>
  </si>
  <si>
    <t>ASO</t>
  </si>
  <si>
    <t>VDRL</t>
  </si>
  <si>
    <t>PCR</t>
  </si>
  <si>
    <t>HDL</t>
  </si>
  <si>
    <t>GGT</t>
  </si>
  <si>
    <t>TPT</t>
  </si>
  <si>
    <t>DULCES</t>
  </si>
  <si>
    <t>PSA</t>
  </si>
  <si>
    <t>IMMULITE</t>
  </si>
  <si>
    <t>T4 LIBRE</t>
  </si>
  <si>
    <t>PROLACTINA</t>
  </si>
  <si>
    <t>PROGESTERONA</t>
  </si>
  <si>
    <t>T3</t>
  </si>
  <si>
    <t>TSH</t>
  </si>
  <si>
    <t>H. PYLORI</t>
  </si>
  <si>
    <t xml:space="preserve">T4  </t>
  </si>
  <si>
    <t>FUJI</t>
  </si>
  <si>
    <t>NITROGENO UREICO</t>
  </si>
  <si>
    <t>CA</t>
  </si>
  <si>
    <t>ES</t>
  </si>
  <si>
    <t>P</t>
  </si>
  <si>
    <t>LIPASA</t>
  </si>
  <si>
    <t xml:space="preserve">TP </t>
  </si>
  <si>
    <t>BILIS TOTAL</t>
  </si>
  <si>
    <t>BILIS DIRECTA</t>
  </si>
  <si>
    <t>AGAR SANGRE</t>
  </si>
  <si>
    <t>AGAR MULLER HINTON</t>
  </si>
  <si>
    <t>AGAR AZUL DE METILENO</t>
  </si>
  <si>
    <t>METHANFETAMINA</t>
  </si>
  <si>
    <t>PRUEBAS RAPIDAS</t>
  </si>
  <si>
    <t>COCAINA</t>
  </si>
  <si>
    <t>THC</t>
  </si>
  <si>
    <t>PRUEBA DE EMBARAZO</t>
  </si>
  <si>
    <t>TIRAS DE ORINA</t>
  </si>
  <si>
    <t>FRASCO</t>
  </si>
  <si>
    <t>DENGUE</t>
  </si>
  <si>
    <t>HEPATITIS A</t>
  </si>
  <si>
    <t>HEPATITIS B</t>
  </si>
  <si>
    <t>HEPATITIS C</t>
  </si>
  <si>
    <t>SIFILIS</t>
  </si>
  <si>
    <t>MULTIDROGAS 3</t>
  </si>
  <si>
    <t xml:space="preserve">INFLUENZA A Y B </t>
  </si>
  <si>
    <t>BARBITURICOS</t>
  </si>
  <si>
    <t>BENZODIASEPINAS</t>
  </si>
  <si>
    <t>RESLAB</t>
  </si>
  <si>
    <t>ERBAMEX</t>
  </si>
  <si>
    <t>TECDIAGS</t>
  </si>
  <si>
    <t>VEGALAB</t>
  </si>
  <si>
    <t>KABLA</t>
  </si>
  <si>
    <t xml:space="preserve">AUREA </t>
  </si>
  <si>
    <t>DICIPA</t>
  </si>
  <si>
    <t>FG SOLUCIONES</t>
  </si>
  <si>
    <t>NUCLEO</t>
  </si>
  <si>
    <t>CENTRO</t>
  </si>
  <si>
    <t>CAPILLA</t>
  </si>
  <si>
    <t xml:space="preserve">SAN IGNACIO </t>
  </si>
  <si>
    <t>SAN JOSE</t>
  </si>
  <si>
    <t>MEZCALA</t>
  </si>
  <si>
    <t>EMPRESAS</t>
  </si>
  <si>
    <t>COMPUTO</t>
  </si>
  <si>
    <t>QUIRURJICO</t>
  </si>
  <si>
    <t>SYSMEX BH</t>
  </si>
  <si>
    <t>ACT 5 DIFF</t>
  </si>
  <si>
    <t>MINDRAY BC3200</t>
  </si>
  <si>
    <t>PIPETAS</t>
  </si>
  <si>
    <t>ECLIPSE APEXBIO</t>
  </si>
  <si>
    <t>NIHON KOHDEN</t>
  </si>
  <si>
    <t>LIMPIEZA</t>
  </si>
  <si>
    <t>GARRAFONES</t>
  </si>
  <si>
    <t>GETEIN 1100</t>
  </si>
  <si>
    <t>(Varios elementos)</t>
  </si>
  <si>
    <t>1111</t>
  </si>
  <si>
    <t>23456</t>
  </si>
  <si>
    <t>333</t>
  </si>
  <si>
    <t>tr4545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</si>
</sst>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3" x14ac:knownFonts="1">
    <font>
      <sz val="11"/>
      <color theme="1"/>
      <name val="Calibri"/>
      <family val="2"/>
      <scheme val="minor"/>
    </font>
    <font>
      <b/>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8" tint="0.59999389629810485"/>
        <bgColor indexed="64"/>
      </patternFill>
    </fill>
    <fill>
      <patternFill patternType="solid">
        <fgColor theme="8" tint="0.79998168889431442"/>
        <bgColor indexed="64"/>
      </patternFill>
    </fill>
  </fills>
  <borders count="1">
    <border>
      <left/>
      <right/>
      <top/>
      <bottom/>
      <diagonal/>
    </border>
  </borders>
  <cellStyleXfs count="1">
    <xf numFmtId="0" fontId="0" fillId="0" borderId="0"/>
  </cellStyleXfs>
  <cellXfs count="21">
    <xf numFmtId="0" fontId="0" fillId="0" borderId="0" xfId="0"/>
    <xf numFmtId="0" fontId="0" fillId="2" borderId="0" xfId="0" applyFill="1"/>
    <xf numFmtId="0" fontId="1" fillId="3" borderId="0" xfId="0" applyFont="1" applyFill="1" applyAlignment="1">
      <alignment horizontal="center"/>
    </xf>
    <xf numFmtId="0" fontId="1" fillId="3" borderId="0" xfId="0" applyFont="1" applyFill="1" applyAlignment="1">
      <alignment horizontal="left"/>
    </xf>
    <xf numFmtId="0" fontId="0" fillId="4" borderId="0" xfId="0" applyFill="1" applyAlignment="1">
      <alignment horizontal="left"/>
    </xf>
    <xf numFmtId="14" fontId="0" fillId="2" borderId="0" xfId="0" applyNumberFormat="1" applyFill="1" applyAlignment="1">
      <alignment horizontal="left"/>
    </xf>
    <xf numFmtId="14" fontId="1" fillId="3" borderId="0" xfId="0" applyNumberFormat="1" applyFont="1" applyFill="1" applyAlignment="1">
      <alignment horizontal="left"/>
    </xf>
    <xf numFmtId="14" fontId="0" fillId="2" borderId="0" xfId="0" applyNumberFormat="1" applyFill="1"/>
    <xf numFmtId="0" fontId="0" fillId="0" borderId="0" xfId="0" applyAlignment="1">
      <alignment horizontal="left"/>
    </xf>
    <xf numFmtId="0" fontId="0" fillId="0" borderId="0" xfId="0" applyNumberFormat="1"/>
    <xf numFmtId="0" fontId="0" fillId="0" borderId="0" xfId="0" applyAlignment="1">
      <alignment horizontal="center"/>
    </xf>
    <xf numFmtId="0" fontId="0" fillId="0" borderId="0" xfId="0" applyNumberFormat="1" applyAlignment="1">
      <alignment horizontal="center"/>
    </xf>
    <xf numFmtId="164" fontId="0" fillId="0" borderId="0" xfId="0" applyNumberFormat="1" applyAlignment="1">
      <alignment horizontal="center"/>
    </xf>
    <xf numFmtId="0" fontId="0" fillId="0" borderId="0" xfId="0" applyFont="1" applyAlignment="1">
      <alignment horizontal="left"/>
    </xf>
    <xf numFmtId="0" fontId="0" fillId="0" borderId="0" xfId="0" applyNumberFormat="1" applyFont="1" applyAlignment="1">
      <alignment horizontal="center"/>
    </xf>
    <xf numFmtId="164" fontId="0" fillId="0" borderId="0" xfId="0" applyNumberFormat="1" applyFont="1" applyAlignment="1">
      <alignment horizontal="center"/>
    </xf>
    <xf numFmtId="0" fontId="0" fillId="0" borderId="0" xfId="0" pivotButton="1" applyAlignment="1">
      <alignment horizontal="left"/>
    </xf>
    <xf numFmtId="0" fontId="0" fillId="2" borderId="0" xfId="0" applyNumberFormat="1" applyFill="1"/>
    <xf numFmtId="0" fontId="1" fillId="3" borderId="0" xfId="0" applyNumberFormat="1" applyFont="1" applyFill="1" applyAlignment="1">
      <alignment horizontal="center"/>
    </xf>
    <xf numFmtId="0" fontId="0" fillId="0" borderId="0" xfId="0" applyAlignment="1">
      <alignment horizontal="left" indent="1"/>
    </xf>
    <xf numFmtId="0" fontId="0" fillId="0" borderId="0" xfId="0" applyAlignment="1">
      <alignment horizontal="left" indent="2"/>
    </xf>
  </cellXfs>
  <cellStyles count="1">
    <cellStyle name="Normal" xfId="0" builtinId="0"/>
  </cellStyles>
  <dxfs count="58">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numFmt numFmtId="0" formatCode="General"/>
    </dxf>
    <dxf>
      <fill>
        <patternFill patternType="solid">
          <fgColor indexed="64"/>
          <bgColor theme="0" tint="-4.9989318521683403E-2"/>
        </patternFill>
      </fill>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left"/>
    </dxf>
    <dxf>
      <alignment horizontal="center"/>
    </dxf>
    <dxf>
      <alignment horizontal="center"/>
    </dxf>
    <dxf>
      <alignment horizontal="left"/>
    </dxf>
    <dxf>
      <alignment horizontal="left"/>
    </dxf>
    <dxf>
      <alignment horizontal="left"/>
    </dxf>
    <dxf>
      <alignment horizontal="left"/>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center"/>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left"/>
    </dxf>
    <dxf>
      <alignment horizontal="center"/>
    </dxf>
    <dxf>
      <alignment horizontal="center"/>
    </dxf>
    <dxf>
      <font>
        <sz val="11"/>
      </font>
    </dxf>
    <dxf>
      <font>
        <sz val="11"/>
      </font>
    </dxf>
    <dxf>
      <font>
        <sz val="14"/>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calcChain" Target="calcChain.xml"/><Relationship Id="rId34" Type="http://schemas.openxmlformats.org/officeDocument/2006/relationships/customXml" Target="../customXml/item13.xml"/><Relationship Id="rId42" Type="http://schemas.openxmlformats.org/officeDocument/2006/relationships/customXml" Target="../customXml/item21.xml"/><Relationship Id="rId47" Type="http://schemas.openxmlformats.org/officeDocument/2006/relationships/customXml" Target="../customXml/item2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worksheet" Target="worksheets/sheet10.xml"/><Relationship Id="rId19" Type="http://schemas.openxmlformats.org/officeDocument/2006/relationships/sheetMetadata" Target="metadata.xml"/><Relationship Id="rId31" Type="http://schemas.openxmlformats.org/officeDocument/2006/relationships/customXml" Target="../customXml/item10.xml"/><Relationship Id="rId44"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20" Type="http://schemas.openxmlformats.org/officeDocument/2006/relationships/powerPivotData" Target="model/item.data"/><Relationship Id="rId41" Type="http://schemas.openxmlformats.org/officeDocument/2006/relationships/customXml" Target="../customXml/item2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752475</xdr:colOff>
          <xdr:row>2</xdr:row>
          <xdr:rowOff>0</xdr:rowOff>
        </xdr:from>
        <xdr:to>
          <xdr:col>5</xdr:col>
          <xdr:colOff>752475</xdr:colOff>
          <xdr:row>2</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161925</xdr:rowOff>
        </xdr:from>
        <xdr:to>
          <xdr:col>6</xdr:col>
          <xdr:colOff>0</xdr:colOff>
          <xdr:row>2</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Guardar</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Fuentes" refreshedDate="44758.417063541667" backgroundQuery="1" createdVersion="8" refreshedVersion="8" minRefreshableVersion="3" recordCount="0" supportSubquery="1" supportAdvancedDrill="1" xr:uid="{D216B360-082C-4D54-8C43-5AA6B6DBFD4B}">
  <cacheSource type="external" connectionId="7"/>
  <cacheFields count="7">
    <cacheField name="[Measures].[salCant]" caption="salCant" numFmtId="0" hierarchy="32" level="32767"/>
    <cacheField name="[Measures].[salFrec]" caption="salFrec" numFmtId="0" hierarchy="33" level="32767"/>
    <cacheField name="[Measures].[salCost]" caption="salCost" numFmtId="0" hierarchy="34" level="32767"/>
    <cacheField name="[prod].[PRODUCTO].[PRODUCTO]" caption="PRODUCTO" numFmtId="0" hierarchy="15" level="1">
      <sharedItems count="2">
        <s v="TUBO AMARILLO"/>
        <s v="TUBO ROJO"/>
      </sharedItems>
    </cacheField>
    <cacheField name="[prod].[AREA].[AREA]" caption="AREA" numFmtId="0" hierarchy="17" level="1">
      <sharedItems count="1">
        <s v="TUBOS"/>
      </sharedItems>
    </cacheField>
    <cacheField name="[suc].[SUCURSAL].[SUCURSAL]" caption="SUCURSAL" numFmtId="0" hierarchy="22" level="1">
      <sharedItems count="1">
        <s v="NUCLEO"/>
      </sharedItems>
    </cacheField>
    <cacheField name="[suc].[IDSUCURSAL].[IDSUCURSAL]" caption="IDSUCURSAL" numFmtId="0" hierarchy="23" level="1">
      <sharedItems containsSemiMixedTypes="0" containsNonDate="0" containsString="0"/>
    </cacheField>
  </cacheFields>
  <cacheHierarchies count="44">
    <cacheHierarchy uniqueName="[area].[AREA]" caption="AREA" attribute="1" defaultMemberUniqueName="[area].[AREA].[All]" allUniqueName="[area].[AREA].[All]" dimensionUniqueName="[area]" displayFolder="" count="0" memberValueDatatype="130" unbalanced="0"/>
    <cacheHierarchy uniqueName="[area].[IDAREA]" caption="IDAREA" attribute="1" defaultMemberUniqueName="[area].[IDAREA].[All]" allUniqueName="[area].[IDAREA].[All]" dimensionUniqueName="[area]" displayFolder="" count="0" memberValueDatatype="20" unbalanced="0"/>
    <cacheHierarchy uniqueName="[hmov].[FECHA]" caption="FECHA" attribute="1" time="1" defaultMemberUniqueName="[hmov].[FECHA].[All]" allUniqueName="[hmov].[FECHA].[All]" dimensionUniqueName="[hmov]" displayFolder="" count="0" memberValueDatatype="7" unbalanced="0"/>
    <cacheHierarchy uniqueName="[hmov].[IDMOV]" caption="IDMOV" attribute="1" defaultMemberUniqueName="[hmov].[IDMOV].[All]" allUniqueName="[hmov].[IDMOV].[All]" dimensionUniqueName="[hmov]" displayFolder="" count="0" memberValueDatatype="20" unbalanced="0"/>
    <cacheHierarchy uniqueName="[hmov].[IDTIPO]" caption="IDTIPO" attribute="1" defaultMemberUniqueName="[hmov].[IDTIPO].[All]" allUniqueName="[hmov].[IDTIPO].[All]" dimensionUniqueName="[hmov]" displayFolder="" count="0" memberValueDatatype="20" unbalanced="0"/>
    <cacheHierarchy uniqueName="[hmov].[INOUT]" caption="INOUT" attribute="1" defaultMemberUniqueName="[hmov].[INOUT].[All]" allUniqueName="[hmov].[INOUT].[All]" dimensionUniqueName="[hmov]" displayFolder="" count="0" memberValueDatatype="20" unbalanced="0"/>
    <cacheHierarchy uniqueName="[hmov].[IDSUCURSAL]" caption="IDSUCURSAL" attribute="1" defaultMemberUniqueName="[hmov].[IDSUCURSAL].[All]" allUniqueName="[hmov].[IDSUCURSAL].[All]" dimensionUniqueName="[hmov]" displayFolder="" count="0" memberValueDatatype="20" unbalanced="0"/>
    <cacheHierarchy uniqueName="[hmov].[IDPROVEEDOR]" caption="IDPROVEEDOR" attribute="1" defaultMemberUniqueName="[hmov].[IDPROVEEDOR].[All]" allUniqueName="[hmov].[IDPROVEEDOR].[All]" dimensionUniqueName="[hmov]" displayFolder="" count="0" memberValueDatatype="20" unbalanced="0"/>
    <cacheHierarchy uniqueName="[hmov].[IDPRODUCTO]" caption="IDPRODUCTO" attribute="1" defaultMemberUniqueName="[hmov].[IDPRODUCTO].[All]" allUniqueName="[hmov].[IDPRODUCTO].[All]" dimensionUniqueName="[hmov]" displayFolder="" count="0" memberValueDatatype="20" unbalanced="0"/>
    <cacheHierarchy uniqueName="[hmov].[CANTIDAD]" caption="CANTIDAD" attribute="1" defaultMemberUniqueName="[hmov].[CANTIDAD].[All]" allUniqueName="[hmov].[CANTIDAD].[All]" dimensionUniqueName="[hmov]" displayFolder="" count="0" memberValueDatatype="20" unbalanced="0"/>
    <cacheHierarchy uniqueName="[hmov].[COSTO]" caption="COSTO" attribute="1" defaultMemberUniqueName="[hmov].[COSTO].[All]" allUniqueName="[hmov].[COSTO].[All]" dimensionUniqueName="[hmov]" displayFolder="" count="0" memberValueDatatype="20" unbalanced="0"/>
    <cacheHierarchy uniqueName="[hmov].[LOTE]" caption="LOTE" attribute="1" defaultMemberUniqueName="[hmov].[LOTE].[All]" allUniqueName="[hmov].[LOTE].[All]" dimensionUniqueName="[hmov]" displayFolder="" count="0" memberValueDatatype="130" unbalanced="0"/>
    <cacheHierarchy uniqueName="[hmov].[FECHA_CAD]" caption="FECHA_CAD" attribute="1" time="1" defaultMemberUniqueName="[hmov].[FECHA_CAD].[All]" allUniqueName="[hmov].[FECHA_CAD].[All]" dimensionUniqueName="[hmov]" displayFolder="" count="0" memberValueDatatype="7" unbalanced="0"/>
    <cacheHierarchy uniqueName="[hmov].[col_existencias]" caption="col_existencias" attribute="1" defaultMemberUniqueName="[hmov].[col_existencias].[All]" allUniqueName="[hmov].[col_existencias].[All]" dimensionUniqueName="[hmov]" displayFolder="" count="0" memberValueDatatype="20" unbalanced="0"/>
    <cacheHierarchy uniqueName="[hmov].[costolote_virtual]" caption="costolote_virtual" attribute="1" defaultMemberUniqueName="[hmov].[costolote_virtual].[All]" allUniqueName="[hmov].[costolote_virtual].[All]" dimensionUniqueName="[hmov]" displayFolder="" count="0" memberValueDatatype="20" unbalanced="0"/>
    <cacheHierarchy uniqueName="[prod].[PRODUCTO]" caption="PRODUCTO" attribute="1" defaultMemberUniqueName="[prod].[PRODUCTO].[All]" allUniqueName="[prod].[PRODUCTO].[All]" dimensionUniqueName="[prod]" displayFolder="" count="2" memberValueDatatype="130" unbalanced="0">
      <fieldsUsage count="2">
        <fieldUsage x="-1"/>
        <fieldUsage x="3"/>
      </fieldsUsage>
    </cacheHierarchy>
    <cacheHierarchy uniqueName="[prod].[UNIDAD]" caption="UNIDAD" attribute="1" defaultMemberUniqueName="[prod].[UNIDAD].[All]" allUniqueName="[prod].[UNIDAD].[All]" dimensionUniqueName="[prod]" displayFolder="" count="0" memberValueDatatype="130" unbalanced="0"/>
    <cacheHierarchy uniqueName="[prod].[AREA]" caption="AREA" attribute="1" defaultMemberUniqueName="[prod].[AREA].[All]" allUniqueName="[prod].[AREA].[All]" dimensionUniqueName="[prod]" displayFolder="" count="2" memberValueDatatype="130" unbalanced="0">
      <fieldsUsage count="2">
        <fieldUsage x="-1"/>
        <fieldUsage x="4"/>
      </fieldsUsage>
    </cacheHierarchy>
    <cacheHierarchy uniqueName="[prod].[IDPROD]" caption="IDPROD" attribute="1" defaultMemberUniqueName="[prod].[IDPROD].[All]" allUniqueName="[prod].[IDPROD].[All]" dimensionUniqueName="[prod]" displayFolder="" count="0" memberValueDatatype="130" unbalanced="0"/>
    <cacheHierarchy uniqueName="[prod].[EXISTENCIA]" caption="EXISTENCIA" attribute="1" defaultMemberUniqueName="[prod].[EXISTENCIA].[All]" allUniqueName="[prod].[EXISTENCIA].[All]" dimensionUniqueName="[prod]" displayFolder="" count="0" memberValueDatatype="130" unbalanced="0"/>
    <cacheHierarchy uniqueName="[prov].[PROVEEDOR]" caption="PROVEEDOR" attribute="1" defaultMemberUniqueName="[prov].[PROVEEDOR].[All]" allUniqueName="[prov].[PROVEEDOR].[All]" dimensionUniqueName="[prov]" displayFolder="" count="0" memberValueDatatype="130" unbalanced="0"/>
    <cacheHierarchy uniqueName="[prov].[IDPROVEEDOR]" caption="IDPROVEEDOR" attribute="1" defaultMemberUniqueName="[prov].[IDPROVEEDOR].[All]" allUniqueName="[prov].[IDPROVEEDOR].[All]" dimensionUniqueName="[prov]" displayFolder="" count="0" memberValueDatatype="20" unbalanced="0"/>
    <cacheHierarchy uniqueName="[suc].[SUCURSAL]" caption="SUCURSAL" attribute="1" defaultMemberUniqueName="[suc].[SUCURSAL].[All]" allUniqueName="[suc].[SUCURSAL].[All]" dimensionUniqueName="[suc]" displayFolder="" count="2" memberValueDatatype="130" unbalanced="0">
      <fieldsUsage count="2">
        <fieldUsage x="-1"/>
        <fieldUsage x="5"/>
      </fieldsUsage>
    </cacheHierarchy>
    <cacheHierarchy uniqueName="[suc].[IDSUCURSAL]" caption="IDSUCURSAL" attribute="1" defaultMemberUniqueName="[suc].[IDSUCURSAL].[All]" allUniqueName="[suc].[IDSUCURSAL].[All]" dimensionUniqueName="[suc]" displayFolder="" count="2" memberValueDatatype="20" unbalanced="0">
      <fieldsUsage count="2">
        <fieldUsage x="-1"/>
        <fieldUsage x="6"/>
      </fieldsUsage>
    </cacheHierarchy>
    <cacheHierarchy uniqueName="[tmov].[TIPO]" caption="TIPO" attribute="1" defaultMemberUniqueName="[tmov].[TIPO].[All]" allUniqueName="[tmov].[TIPO].[All]" dimensionUniqueName="[tmov]" displayFolder="" count="0" memberValueDatatype="130" unbalanced="0"/>
    <cacheHierarchy uniqueName="[tmov].[INOUT]" caption="INOUT" attribute="1" defaultMemberUniqueName="[tmov].[INOUT].[All]" allUniqueName="[tmov].[INOUT].[All]" dimensionUniqueName="[tmov]" displayFolder="" count="0" memberValueDatatype="20" unbalanced="0"/>
    <cacheHierarchy uniqueName="[tmov].[IDTIPO]" caption="IDTIPO" attribute="1" defaultMemberUniqueName="[tmov].[IDTIPO].[All]" allUniqueName="[tmov].[IDTIPO].[All]" dimensionUniqueName="[tmov]" displayFolder="" count="0" memberValueDatatype="20" unbalanced="0"/>
    <cacheHierarchy uniqueName="[hmov].[lote_virtual]" caption="lote_virtual" attribute="1" defaultMemberUniqueName="[hmov].[lote_virtual].[All]" allUniqueName="[hmov].[lote_virtual].[All]" dimensionUniqueName="[hmov]" displayFolder="" count="0" memberValueDatatype="130" unbalanced="0" hidden="1"/>
    <cacheHierarchy uniqueName="[Measures].[Suma de col_existencias]" caption="Suma de col_existencias" measure="1" displayFolder="" measureGroup="hmov" count="0">
      <extLst>
        <ext xmlns:x15="http://schemas.microsoft.com/office/spreadsheetml/2010/11/main" uri="{B97F6D7D-B522-45F9-BDA1-12C45D357490}">
          <x15:cacheHierarchy aggregatedColumn="13"/>
        </ext>
      </extLst>
    </cacheHierarchy>
    <cacheHierarchy uniqueName="[Measures].[existencias]" caption="existencias" measure="1" displayFolder="" measureGroup="hmov" count="0"/>
    <cacheHierarchy uniqueName="[Measures].[vida]" caption="vida" measure="1" displayFolder="" measureGroup="hmov" count="0"/>
    <cacheHierarchy uniqueName="[Measures].[cost]" caption="cost" measure="1" displayFolder="" measureGroup="hmov" count="0"/>
    <cacheHierarchy uniqueName="[Measures].[salCant]" caption="salCant" measure="1" displayFolder="" measureGroup="hmov" count="0" oneField="1">
      <fieldsUsage count="1">
        <fieldUsage x="0"/>
      </fieldsUsage>
    </cacheHierarchy>
    <cacheHierarchy uniqueName="[Measures].[salFrec]" caption="salFrec" measure="1" displayFolder="" measureGroup="hmov" count="0" oneField="1">
      <fieldsUsage count="1">
        <fieldUsage x="1"/>
      </fieldsUsage>
    </cacheHierarchy>
    <cacheHierarchy uniqueName="[Measures].[salCost]" caption="salCost" measure="1" displayFolder="" measureGroup="hmov" count="0" oneField="1">
      <fieldsUsage count="1">
        <fieldUsage x="2"/>
      </fieldsUsage>
    </cacheHierarchy>
    <cacheHierarchy uniqueName="[Measures].[Medida 1]" caption="Medida 1" measure="1" displayFolder="" measureGroup="hmov" count="0"/>
    <cacheHierarchy uniqueName="[Measures].[entCost]" caption="entCost" measure="1" displayFolder="" measureGroup="hmov" count="0"/>
    <cacheHierarchy uniqueName="[Measures].[__XL_Count hmov]" caption="__XL_Count hmov" measure="1" displayFolder="" measureGroup="hmov" count="0" hidden="1"/>
    <cacheHierarchy uniqueName="[Measures].[__XL_Count prod]" caption="__XL_Count prod" measure="1" displayFolder="" measureGroup="prod" count="0" hidden="1"/>
    <cacheHierarchy uniqueName="[Measures].[__XL_Count prov]" caption="__XL_Count prov" measure="1" displayFolder="" measureGroup="prov" count="0" hidden="1"/>
    <cacheHierarchy uniqueName="[Measures].[__XL_Count suc]" caption="__XL_Count suc" measure="1" displayFolder="" measureGroup="suc" count="0" hidden="1"/>
    <cacheHierarchy uniqueName="[Measures].[__XL_Count tmov]" caption="__XL_Count tmov" measure="1" displayFolder="" measureGroup="tmov" count="0" hidden="1"/>
    <cacheHierarchy uniqueName="[Measures].[__XL_Count area]" caption="__XL_Count area" measure="1" displayFolder="" measureGroup="area" count="0" hidden="1"/>
    <cacheHierarchy uniqueName="[Measures].[__No measures defined]" caption="__No measures defined" measure="1" displayFolder="" count="0" hidden="1"/>
  </cacheHierarchies>
  <kpis count="0"/>
  <dimensions count="7">
    <dimension name="area" uniqueName="[area]" caption="area"/>
    <dimension name="hmov" uniqueName="[hmov]" caption="hmov"/>
    <dimension measure="1" name="Measures" uniqueName="[Measures]" caption="Measures"/>
    <dimension name="prod" uniqueName="[prod]" caption="prod"/>
    <dimension name="prov" uniqueName="[prov]" caption="prov"/>
    <dimension name="suc" uniqueName="[suc]" caption="suc"/>
    <dimension name="tmov" uniqueName="[tmov]" caption="tmov"/>
  </dimensions>
  <measureGroups count="6">
    <measureGroup name="area" caption="area"/>
    <measureGroup name="hmov" caption="hmov"/>
    <measureGroup name="prod" caption="prod"/>
    <measureGroup name="prov" caption="prov"/>
    <measureGroup name="suc" caption="suc"/>
    <measureGroup name="tmov" caption="tmov"/>
  </measureGroups>
  <maps count="10">
    <map measureGroup="0" dimension="0"/>
    <map measureGroup="1" dimension="1"/>
    <map measureGroup="1" dimension="3"/>
    <map measureGroup="1" dimension="4"/>
    <map measureGroup="1" dimension="5"/>
    <map measureGroup="1" dimension="6"/>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Fuentes" refreshedDate="44758.417071412034" backgroundQuery="1" createdVersion="8" refreshedVersion="8" minRefreshableVersion="3" recordCount="0" supportSubquery="1" supportAdvancedDrill="1" xr:uid="{7C87C8D9-EE2E-4CEA-8794-1DE3456E8FD6}">
  <cacheSource type="external" connectionId="7"/>
  <cacheFields count="6">
    <cacheField name="[Measures].[entCost]" caption="entCost" numFmtId="0" hierarchy="36" level="32767"/>
    <cacheField name="[prod].[PRODUCTO].[PRODUCTO]" caption="PRODUCTO" numFmtId="0" hierarchy="15" level="1">
      <sharedItems count="2">
        <s v="TUBO AMARILLO"/>
        <s v="TUBO ROJO"/>
      </sharedItems>
    </cacheField>
    <cacheField name="[prod].[AREA].[AREA]" caption="AREA" numFmtId="0" hierarchy="17" level="1">
      <sharedItems count="1">
        <s v="TUBOS"/>
      </sharedItems>
    </cacheField>
    <cacheField name="[prov].[PROVEEDOR].[PROVEEDOR]" caption="PROVEEDOR" numFmtId="0" hierarchy="20" level="1">
      <sharedItems count="2">
        <s v="RESLAB"/>
        <s v="SPINREACT"/>
      </sharedItems>
    </cacheField>
    <cacheField name="[prod].[EXISTENCIA].[EXISTENCIA]" caption="EXISTENCIA" numFmtId="0" hierarchy="19" level="1">
      <sharedItems containsSemiMixedTypes="0" containsNonDate="0" containsString="0"/>
    </cacheField>
    <cacheField name="[prov].[IDPROVEEDOR].[IDPROVEEDOR]" caption="IDPROVEEDOR" numFmtId="0" hierarchy="21" level="1">
      <sharedItems containsSemiMixedTypes="0" containsNonDate="0" containsString="0"/>
    </cacheField>
  </cacheFields>
  <cacheHierarchies count="44">
    <cacheHierarchy uniqueName="[area].[AREA]" caption="AREA" attribute="1" defaultMemberUniqueName="[area].[AREA].[All]" allUniqueName="[area].[AREA].[All]" dimensionUniqueName="[area]" displayFolder="" count="0" memberValueDatatype="130" unbalanced="0"/>
    <cacheHierarchy uniqueName="[area].[IDAREA]" caption="IDAREA" attribute="1" defaultMemberUniqueName="[area].[IDAREA].[All]" allUniqueName="[area].[IDAREA].[All]" dimensionUniqueName="[area]" displayFolder="" count="0" memberValueDatatype="20" unbalanced="0"/>
    <cacheHierarchy uniqueName="[hmov].[FECHA]" caption="FECHA" attribute="1" time="1" defaultMemberUniqueName="[hmov].[FECHA].[All]" allUniqueName="[hmov].[FECHA].[All]" dimensionUniqueName="[hmov]" displayFolder="" count="0" memberValueDatatype="7" unbalanced="0"/>
    <cacheHierarchy uniqueName="[hmov].[IDMOV]" caption="IDMOV" attribute="1" defaultMemberUniqueName="[hmov].[IDMOV].[All]" allUniqueName="[hmov].[IDMOV].[All]" dimensionUniqueName="[hmov]" displayFolder="" count="0" memberValueDatatype="20" unbalanced="0"/>
    <cacheHierarchy uniqueName="[hmov].[IDTIPO]" caption="IDTIPO" attribute="1" defaultMemberUniqueName="[hmov].[IDTIPO].[All]" allUniqueName="[hmov].[IDTIPO].[All]" dimensionUniqueName="[hmov]" displayFolder="" count="0" memberValueDatatype="20" unbalanced="0"/>
    <cacheHierarchy uniqueName="[hmov].[INOUT]" caption="INOUT" attribute="1" defaultMemberUniqueName="[hmov].[INOUT].[All]" allUniqueName="[hmov].[INOUT].[All]" dimensionUniqueName="[hmov]" displayFolder="" count="0" memberValueDatatype="20" unbalanced="0"/>
    <cacheHierarchy uniqueName="[hmov].[IDSUCURSAL]" caption="IDSUCURSAL" attribute="1" defaultMemberUniqueName="[hmov].[IDSUCURSAL].[All]" allUniqueName="[hmov].[IDSUCURSAL].[All]" dimensionUniqueName="[hmov]" displayFolder="" count="0" memberValueDatatype="20" unbalanced="0"/>
    <cacheHierarchy uniqueName="[hmov].[IDPROVEEDOR]" caption="IDPROVEEDOR" attribute="1" defaultMemberUniqueName="[hmov].[IDPROVEEDOR].[All]" allUniqueName="[hmov].[IDPROVEEDOR].[All]" dimensionUniqueName="[hmov]" displayFolder="" count="0" memberValueDatatype="20" unbalanced="0"/>
    <cacheHierarchy uniqueName="[hmov].[IDPRODUCTO]" caption="IDPRODUCTO" attribute="1" defaultMemberUniqueName="[hmov].[IDPRODUCTO].[All]" allUniqueName="[hmov].[IDPRODUCTO].[All]" dimensionUniqueName="[hmov]" displayFolder="" count="0" memberValueDatatype="20" unbalanced="0"/>
    <cacheHierarchy uniqueName="[hmov].[CANTIDAD]" caption="CANTIDAD" attribute="1" defaultMemberUniqueName="[hmov].[CANTIDAD].[All]" allUniqueName="[hmov].[CANTIDAD].[All]" dimensionUniqueName="[hmov]" displayFolder="" count="0" memberValueDatatype="20" unbalanced="0"/>
    <cacheHierarchy uniqueName="[hmov].[COSTO]" caption="COSTO" attribute="1" defaultMemberUniqueName="[hmov].[COSTO].[All]" allUniqueName="[hmov].[COSTO].[All]" dimensionUniqueName="[hmov]" displayFolder="" count="0" memberValueDatatype="20" unbalanced="0"/>
    <cacheHierarchy uniqueName="[hmov].[LOTE]" caption="LOTE" attribute="1" defaultMemberUniqueName="[hmov].[LOTE].[All]" allUniqueName="[hmov].[LOTE].[All]" dimensionUniqueName="[hmov]" displayFolder="" count="0" memberValueDatatype="130" unbalanced="0"/>
    <cacheHierarchy uniqueName="[hmov].[FECHA_CAD]" caption="FECHA_CAD" attribute="1" time="1" defaultMemberUniqueName="[hmov].[FECHA_CAD].[All]" allUniqueName="[hmov].[FECHA_CAD].[All]" dimensionUniqueName="[hmov]" displayFolder="" count="0" memberValueDatatype="7" unbalanced="0"/>
    <cacheHierarchy uniqueName="[hmov].[col_existencias]" caption="col_existencias" attribute="1" defaultMemberUniqueName="[hmov].[col_existencias].[All]" allUniqueName="[hmov].[col_existencias].[All]" dimensionUniqueName="[hmov]" displayFolder="" count="0" memberValueDatatype="20" unbalanced="0"/>
    <cacheHierarchy uniqueName="[hmov].[costolote_virtual]" caption="costolote_virtual" attribute="1" defaultMemberUniqueName="[hmov].[costolote_virtual].[All]" allUniqueName="[hmov].[costolote_virtual].[All]" dimensionUniqueName="[hmov]" displayFolder="" count="0" memberValueDatatype="20" unbalanced="0"/>
    <cacheHierarchy uniqueName="[prod].[PRODUCTO]" caption="PRODUCTO" attribute="1" defaultMemberUniqueName="[prod].[PRODUCTO].[All]" allUniqueName="[prod].[PRODUCTO].[All]" dimensionUniqueName="[prod]" displayFolder="" count="2" memberValueDatatype="130" unbalanced="0">
      <fieldsUsage count="2">
        <fieldUsage x="-1"/>
        <fieldUsage x="1"/>
      </fieldsUsage>
    </cacheHierarchy>
    <cacheHierarchy uniqueName="[prod].[UNIDAD]" caption="UNIDAD" attribute="1" defaultMemberUniqueName="[prod].[UNIDAD].[All]" allUniqueName="[prod].[UNIDAD].[All]" dimensionUniqueName="[prod]" displayFolder="" count="0" memberValueDatatype="130" unbalanced="0"/>
    <cacheHierarchy uniqueName="[prod].[AREA]" caption="AREA" attribute="1" defaultMemberUniqueName="[prod].[AREA].[All]" allUniqueName="[prod].[AREA].[All]" dimensionUniqueName="[prod]" displayFolder="" count="2" memberValueDatatype="130" unbalanced="0">
      <fieldsUsage count="2">
        <fieldUsage x="-1"/>
        <fieldUsage x="2"/>
      </fieldsUsage>
    </cacheHierarchy>
    <cacheHierarchy uniqueName="[prod].[IDPROD]" caption="IDPROD" attribute="1" defaultMemberUniqueName="[prod].[IDPROD].[All]" allUniqueName="[prod].[IDPROD].[All]" dimensionUniqueName="[prod]" displayFolder="" count="0" memberValueDatatype="130" unbalanced="0"/>
    <cacheHierarchy uniqueName="[prod].[EXISTENCIA]" caption="EXISTENCIA" attribute="1" defaultMemberUniqueName="[prod].[EXISTENCIA].[All]" allUniqueName="[prod].[EXISTENCIA].[All]" dimensionUniqueName="[prod]" displayFolder="" count="2" memberValueDatatype="130" unbalanced="0">
      <fieldsUsage count="2">
        <fieldUsage x="-1"/>
        <fieldUsage x="4"/>
      </fieldsUsage>
    </cacheHierarchy>
    <cacheHierarchy uniqueName="[prov].[PROVEEDOR]" caption="PROVEEDOR" attribute="1" defaultMemberUniqueName="[prov].[PROVEEDOR].[All]" allUniqueName="[prov].[PROVEEDOR].[All]" dimensionUniqueName="[prov]" displayFolder="" count="2" memberValueDatatype="130" unbalanced="0">
      <fieldsUsage count="2">
        <fieldUsage x="-1"/>
        <fieldUsage x="3"/>
      </fieldsUsage>
    </cacheHierarchy>
    <cacheHierarchy uniqueName="[prov].[IDPROVEEDOR]" caption="IDPROVEEDOR" attribute="1" defaultMemberUniqueName="[prov].[IDPROVEEDOR].[All]" allUniqueName="[prov].[IDPROVEEDOR].[All]" dimensionUniqueName="[prov]" displayFolder="" count="2" memberValueDatatype="20" unbalanced="0">
      <fieldsUsage count="2">
        <fieldUsage x="-1"/>
        <fieldUsage x="5"/>
      </fieldsUsage>
    </cacheHierarchy>
    <cacheHierarchy uniqueName="[suc].[SUCURSAL]" caption="SUCURSAL" attribute="1" defaultMemberUniqueName="[suc].[SUCURSAL].[All]" allUniqueName="[suc].[SUCURSAL].[All]" dimensionUniqueName="[suc]" displayFolder="" count="0" memberValueDatatype="130" unbalanced="0"/>
    <cacheHierarchy uniqueName="[suc].[IDSUCURSAL]" caption="IDSUCURSAL" attribute="1" defaultMemberUniqueName="[suc].[IDSUCURSAL].[All]" allUniqueName="[suc].[IDSUCURSAL].[All]" dimensionUniqueName="[suc]" displayFolder="" count="0" memberValueDatatype="20" unbalanced="0"/>
    <cacheHierarchy uniqueName="[tmov].[TIPO]" caption="TIPO" attribute="1" defaultMemberUniqueName="[tmov].[TIPO].[All]" allUniqueName="[tmov].[TIPO].[All]" dimensionUniqueName="[tmov]" displayFolder="" count="0" memberValueDatatype="130" unbalanced="0"/>
    <cacheHierarchy uniqueName="[tmov].[INOUT]" caption="INOUT" attribute="1" defaultMemberUniqueName="[tmov].[INOUT].[All]" allUniqueName="[tmov].[INOUT].[All]" dimensionUniqueName="[tmov]" displayFolder="" count="0" memberValueDatatype="20" unbalanced="0"/>
    <cacheHierarchy uniqueName="[tmov].[IDTIPO]" caption="IDTIPO" attribute="1" defaultMemberUniqueName="[tmov].[IDTIPO].[All]" allUniqueName="[tmov].[IDTIPO].[All]" dimensionUniqueName="[tmov]" displayFolder="" count="0" memberValueDatatype="20" unbalanced="0"/>
    <cacheHierarchy uniqueName="[hmov].[lote_virtual]" caption="lote_virtual" attribute="1" defaultMemberUniqueName="[hmov].[lote_virtual].[All]" allUniqueName="[hmov].[lote_virtual].[All]" dimensionUniqueName="[hmov]" displayFolder="" count="0" memberValueDatatype="130" unbalanced="0" hidden="1"/>
    <cacheHierarchy uniqueName="[Measures].[Suma de col_existencias]" caption="Suma de col_existencias" measure="1" displayFolder="" measureGroup="hmov" count="0">
      <extLst>
        <ext xmlns:x15="http://schemas.microsoft.com/office/spreadsheetml/2010/11/main" uri="{B97F6D7D-B522-45F9-BDA1-12C45D357490}">
          <x15:cacheHierarchy aggregatedColumn="13"/>
        </ext>
      </extLst>
    </cacheHierarchy>
    <cacheHierarchy uniqueName="[Measures].[existencias]" caption="existencias" measure="1" displayFolder="" measureGroup="hmov" count="0"/>
    <cacheHierarchy uniqueName="[Measures].[vida]" caption="vida" measure="1" displayFolder="" measureGroup="hmov" count="0"/>
    <cacheHierarchy uniqueName="[Measures].[cost]" caption="cost" measure="1" displayFolder="" measureGroup="hmov" count="0"/>
    <cacheHierarchy uniqueName="[Measures].[salCant]" caption="salCant" measure="1" displayFolder="" measureGroup="hmov" count="0"/>
    <cacheHierarchy uniqueName="[Measures].[salFrec]" caption="salFrec" measure="1" displayFolder="" measureGroup="hmov" count="0"/>
    <cacheHierarchy uniqueName="[Measures].[salCost]" caption="salCost" measure="1" displayFolder="" measureGroup="hmov" count="0"/>
    <cacheHierarchy uniqueName="[Measures].[Medida 1]" caption="Medida 1" measure="1" displayFolder="" measureGroup="hmov" count="0"/>
    <cacheHierarchy uniqueName="[Measures].[entCost]" caption="entCost" measure="1" displayFolder="" measureGroup="hmov" count="0" oneField="1">
      <fieldsUsage count="1">
        <fieldUsage x="0"/>
      </fieldsUsage>
    </cacheHierarchy>
    <cacheHierarchy uniqueName="[Measures].[__XL_Count hmov]" caption="__XL_Count hmov" measure="1" displayFolder="" measureGroup="hmov" count="0" hidden="1"/>
    <cacheHierarchy uniqueName="[Measures].[__XL_Count prod]" caption="__XL_Count prod" measure="1" displayFolder="" measureGroup="prod" count="0" hidden="1"/>
    <cacheHierarchy uniqueName="[Measures].[__XL_Count prov]" caption="__XL_Count prov" measure="1" displayFolder="" measureGroup="prov" count="0" hidden="1"/>
    <cacheHierarchy uniqueName="[Measures].[__XL_Count suc]" caption="__XL_Count suc" measure="1" displayFolder="" measureGroup="suc" count="0" hidden="1"/>
    <cacheHierarchy uniqueName="[Measures].[__XL_Count tmov]" caption="__XL_Count tmov" measure="1" displayFolder="" measureGroup="tmov" count="0" hidden="1"/>
    <cacheHierarchy uniqueName="[Measures].[__XL_Count area]" caption="__XL_Count area" measure="1" displayFolder="" measureGroup="area" count="0" hidden="1"/>
    <cacheHierarchy uniqueName="[Measures].[__No measures defined]" caption="__No measures defined" measure="1" displayFolder="" count="0" hidden="1"/>
  </cacheHierarchies>
  <kpis count="0"/>
  <dimensions count="7">
    <dimension name="area" uniqueName="[area]" caption="area"/>
    <dimension name="hmov" uniqueName="[hmov]" caption="hmov"/>
    <dimension measure="1" name="Measures" uniqueName="[Measures]" caption="Measures"/>
    <dimension name="prod" uniqueName="[prod]" caption="prod"/>
    <dimension name="prov" uniqueName="[prov]" caption="prov"/>
    <dimension name="suc" uniqueName="[suc]" caption="suc"/>
    <dimension name="tmov" uniqueName="[tmov]" caption="tmov"/>
  </dimensions>
  <measureGroups count="6">
    <measureGroup name="area" caption="area"/>
    <measureGroup name="hmov" caption="hmov"/>
    <measureGroup name="prod" caption="prod"/>
    <measureGroup name="prov" caption="prov"/>
    <measureGroup name="suc" caption="suc"/>
    <measureGroup name="tmov" caption="tmov"/>
  </measureGroups>
  <maps count="10">
    <map measureGroup="0" dimension="0"/>
    <map measureGroup="1" dimension="1"/>
    <map measureGroup="1" dimension="3"/>
    <map measureGroup="1" dimension="4"/>
    <map measureGroup="1" dimension="5"/>
    <map measureGroup="1" dimension="6"/>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Fuentes" refreshedDate="44758.417075925929" backgroundQuery="1" createdVersion="8" refreshedVersion="8" minRefreshableVersion="3" recordCount="0" supportSubquery="1" supportAdvancedDrill="1" xr:uid="{6D5351C8-40FD-4E9A-9FC7-E22479CB9835}">
  <cacheSource type="external" connectionId="7"/>
  <cacheFields count="7">
    <cacheField name="[Measures].[vida]" caption="vida" numFmtId="0" hierarchy="30" level="32767"/>
    <cacheField name="[hmov].[col_existencias].[col_existencias]" caption="col_existencias" numFmtId="0" hierarchy="13" level="1">
      <sharedItems containsSemiMixedTypes="0" containsNonDate="0" containsString="0"/>
    </cacheField>
    <cacheField name="[Measures].[cost]" caption="cost" numFmtId="0" hierarchy="31" level="32767"/>
    <cacheField name="[Measures].[existencias]" caption="existencias" numFmtId="0" hierarchy="29" level="32767"/>
    <cacheField name="[prod].[PRODUCTO].[PRODUCTO]" caption="PRODUCTO" numFmtId="0" hierarchy="15" level="1">
      <sharedItems count="1">
        <s v="TUBO ROJO"/>
      </sharedItems>
    </cacheField>
    <cacheField name="[prod].[AREA].[AREA]" caption="AREA" numFmtId="0" hierarchy="17" level="1">
      <sharedItems count="1">
        <s v="TUBOS"/>
      </sharedItems>
    </cacheField>
    <cacheField name="[hmov].[LOTE].[LOTE]" caption="LOTE" numFmtId="0" hierarchy="11" level="1">
      <sharedItems count="3">
        <s v="1111"/>
        <s v="23456"/>
        <s v="333"/>
      </sharedItems>
    </cacheField>
  </cacheFields>
  <cacheHierarchies count="44">
    <cacheHierarchy uniqueName="[area].[AREA]" caption="AREA" attribute="1" defaultMemberUniqueName="[area].[AREA].[All]" allUniqueName="[area].[AREA].[All]" dimensionUniqueName="[area]" displayFolder="" count="0" memberValueDatatype="130" unbalanced="0"/>
    <cacheHierarchy uniqueName="[area].[IDAREA]" caption="IDAREA" attribute="1" defaultMemberUniqueName="[area].[IDAREA].[All]" allUniqueName="[area].[IDAREA].[All]" dimensionUniqueName="[area]" displayFolder="" count="0" memberValueDatatype="20" unbalanced="0"/>
    <cacheHierarchy uniqueName="[hmov].[FECHA]" caption="FECHA" attribute="1" time="1" defaultMemberUniqueName="[hmov].[FECHA].[All]" allUniqueName="[hmov].[FECHA].[All]" dimensionUniqueName="[hmov]" displayFolder="" count="0" memberValueDatatype="7" unbalanced="0"/>
    <cacheHierarchy uniqueName="[hmov].[IDMOV]" caption="IDMOV" attribute="1" defaultMemberUniqueName="[hmov].[IDMOV].[All]" allUniqueName="[hmov].[IDMOV].[All]" dimensionUniqueName="[hmov]" displayFolder="" count="0" memberValueDatatype="20" unbalanced="0"/>
    <cacheHierarchy uniqueName="[hmov].[IDTIPO]" caption="IDTIPO" attribute="1" defaultMemberUniqueName="[hmov].[IDTIPO].[All]" allUniqueName="[hmov].[IDTIPO].[All]" dimensionUniqueName="[hmov]" displayFolder="" count="0" memberValueDatatype="20" unbalanced="0"/>
    <cacheHierarchy uniqueName="[hmov].[INOUT]" caption="INOUT" attribute="1" defaultMemberUniqueName="[hmov].[INOUT].[All]" allUniqueName="[hmov].[INOUT].[All]" dimensionUniqueName="[hmov]" displayFolder="" count="0" memberValueDatatype="20" unbalanced="0"/>
    <cacheHierarchy uniqueName="[hmov].[IDSUCURSAL]" caption="IDSUCURSAL" attribute="1" defaultMemberUniqueName="[hmov].[IDSUCURSAL].[All]" allUniqueName="[hmov].[IDSUCURSAL].[All]" dimensionUniqueName="[hmov]" displayFolder="" count="0" memberValueDatatype="20" unbalanced="0"/>
    <cacheHierarchy uniqueName="[hmov].[IDPROVEEDOR]" caption="IDPROVEEDOR" attribute="1" defaultMemberUniqueName="[hmov].[IDPROVEEDOR].[All]" allUniqueName="[hmov].[IDPROVEEDOR].[All]" dimensionUniqueName="[hmov]" displayFolder="" count="0" memberValueDatatype="20" unbalanced="0"/>
    <cacheHierarchy uniqueName="[hmov].[IDPRODUCTO]" caption="IDPRODUCTO" attribute="1" defaultMemberUniqueName="[hmov].[IDPRODUCTO].[All]" allUniqueName="[hmov].[IDPRODUCTO].[All]" dimensionUniqueName="[hmov]" displayFolder="" count="0" memberValueDatatype="20" unbalanced="0"/>
    <cacheHierarchy uniqueName="[hmov].[CANTIDAD]" caption="CANTIDAD" attribute="1" defaultMemberUniqueName="[hmov].[CANTIDAD].[All]" allUniqueName="[hmov].[CANTIDAD].[All]" dimensionUniqueName="[hmov]" displayFolder="" count="0" memberValueDatatype="20" unbalanced="0"/>
    <cacheHierarchy uniqueName="[hmov].[COSTO]" caption="COSTO" attribute="1" defaultMemberUniqueName="[hmov].[COSTO].[All]" allUniqueName="[hmov].[COSTO].[All]" dimensionUniqueName="[hmov]" displayFolder="" count="0" memberValueDatatype="20" unbalanced="0"/>
    <cacheHierarchy uniqueName="[hmov].[LOTE]" caption="LOTE" attribute="1" defaultMemberUniqueName="[hmov].[LOTE].[All]" allUniqueName="[hmov].[LOTE].[All]" dimensionUniqueName="[hmov]" displayFolder="" count="2" memberValueDatatype="130" unbalanced="0">
      <fieldsUsage count="2">
        <fieldUsage x="-1"/>
        <fieldUsage x="6"/>
      </fieldsUsage>
    </cacheHierarchy>
    <cacheHierarchy uniqueName="[hmov].[FECHA_CAD]" caption="FECHA_CAD" attribute="1" time="1" defaultMemberUniqueName="[hmov].[FECHA_CAD].[All]" allUniqueName="[hmov].[FECHA_CAD].[All]" dimensionUniqueName="[hmov]" displayFolder="" count="0" memberValueDatatype="7" unbalanced="0"/>
    <cacheHierarchy uniqueName="[hmov].[col_existencias]" caption="col_existencias" attribute="1" defaultMemberUniqueName="[hmov].[col_existencias].[All]" allUniqueName="[hmov].[col_existencias].[All]" dimensionUniqueName="[hmov]" displayFolder="" count="2" memberValueDatatype="20" unbalanced="0">
      <fieldsUsage count="2">
        <fieldUsage x="-1"/>
        <fieldUsage x="1"/>
      </fieldsUsage>
    </cacheHierarchy>
    <cacheHierarchy uniqueName="[hmov].[costolote_virtual]" caption="costolote_virtual" attribute="1" defaultMemberUniqueName="[hmov].[costolote_virtual].[All]" allUniqueName="[hmov].[costolote_virtual].[All]" dimensionUniqueName="[hmov]" displayFolder="" count="0" memberValueDatatype="20" unbalanced="0"/>
    <cacheHierarchy uniqueName="[prod].[PRODUCTO]" caption="PRODUCTO" attribute="1" defaultMemberUniqueName="[prod].[PRODUCTO].[All]" allUniqueName="[prod].[PRODUCTO].[All]" dimensionUniqueName="[prod]" displayFolder="" count="2" memberValueDatatype="130" unbalanced="0">
      <fieldsUsage count="2">
        <fieldUsage x="-1"/>
        <fieldUsage x="4"/>
      </fieldsUsage>
    </cacheHierarchy>
    <cacheHierarchy uniqueName="[prod].[UNIDAD]" caption="UNIDAD" attribute="1" defaultMemberUniqueName="[prod].[UNIDAD].[All]" allUniqueName="[prod].[UNIDAD].[All]" dimensionUniqueName="[prod]" displayFolder="" count="0" memberValueDatatype="130" unbalanced="0"/>
    <cacheHierarchy uniqueName="[prod].[AREA]" caption="AREA" attribute="1" defaultMemberUniqueName="[prod].[AREA].[All]" allUniqueName="[prod].[AREA].[All]" dimensionUniqueName="[prod]" displayFolder="" count="2" memberValueDatatype="130" unbalanced="0">
      <fieldsUsage count="2">
        <fieldUsage x="-1"/>
        <fieldUsage x="5"/>
      </fieldsUsage>
    </cacheHierarchy>
    <cacheHierarchy uniqueName="[prod].[IDPROD]" caption="IDPROD" attribute="1" defaultMemberUniqueName="[prod].[IDPROD].[All]" allUniqueName="[prod].[IDPROD].[All]" dimensionUniqueName="[prod]" displayFolder="" count="0" memberValueDatatype="130" unbalanced="0"/>
    <cacheHierarchy uniqueName="[prod].[EXISTENCIA]" caption="EXISTENCIA" attribute="1" defaultMemberUniqueName="[prod].[EXISTENCIA].[All]" allUniqueName="[prod].[EXISTENCIA].[All]" dimensionUniqueName="[prod]" displayFolder="" count="0" memberValueDatatype="130" unbalanced="0"/>
    <cacheHierarchy uniqueName="[prov].[PROVEEDOR]" caption="PROVEEDOR" attribute="1" defaultMemberUniqueName="[prov].[PROVEEDOR].[All]" allUniqueName="[prov].[PROVEEDOR].[All]" dimensionUniqueName="[prov]" displayFolder="" count="0" memberValueDatatype="130" unbalanced="0"/>
    <cacheHierarchy uniqueName="[prov].[IDPROVEEDOR]" caption="IDPROVEEDOR" attribute="1" defaultMemberUniqueName="[prov].[IDPROVEEDOR].[All]" allUniqueName="[prov].[IDPROVEEDOR].[All]" dimensionUniqueName="[prov]" displayFolder="" count="0" memberValueDatatype="20" unbalanced="0"/>
    <cacheHierarchy uniqueName="[suc].[SUCURSAL]" caption="SUCURSAL" attribute="1" defaultMemberUniqueName="[suc].[SUCURSAL].[All]" allUniqueName="[suc].[SUCURSAL].[All]" dimensionUniqueName="[suc]" displayFolder="" count="0" memberValueDatatype="130" unbalanced="0"/>
    <cacheHierarchy uniqueName="[suc].[IDSUCURSAL]" caption="IDSUCURSAL" attribute="1" defaultMemberUniqueName="[suc].[IDSUCURSAL].[All]" allUniqueName="[suc].[IDSUCURSAL].[All]" dimensionUniqueName="[suc]" displayFolder="" count="0" memberValueDatatype="20" unbalanced="0"/>
    <cacheHierarchy uniqueName="[tmov].[TIPO]" caption="TIPO" attribute="1" defaultMemberUniqueName="[tmov].[TIPO].[All]" allUniqueName="[tmov].[TIPO].[All]" dimensionUniqueName="[tmov]" displayFolder="" count="0" memberValueDatatype="130" unbalanced="0"/>
    <cacheHierarchy uniqueName="[tmov].[INOUT]" caption="INOUT" attribute="1" defaultMemberUniqueName="[tmov].[INOUT].[All]" allUniqueName="[tmov].[INOUT].[All]" dimensionUniqueName="[tmov]" displayFolder="" count="0" memberValueDatatype="20" unbalanced="0"/>
    <cacheHierarchy uniqueName="[tmov].[IDTIPO]" caption="IDTIPO" attribute="1" defaultMemberUniqueName="[tmov].[IDTIPO].[All]" allUniqueName="[tmov].[IDTIPO].[All]" dimensionUniqueName="[tmov]" displayFolder="" count="0" memberValueDatatype="20" unbalanced="0"/>
    <cacheHierarchy uniqueName="[hmov].[lote_virtual]" caption="lote_virtual" attribute="1" defaultMemberUniqueName="[hmov].[lote_virtual].[All]" allUniqueName="[hmov].[lote_virtual].[All]" dimensionUniqueName="[hmov]" displayFolder="" count="0" memberValueDatatype="130" unbalanced="0" hidden="1"/>
    <cacheHierarchy uniqueName="[Measures].[Suma de col_existencias]" caption="Suma de col_existencias" measure="1" displayFolder="" measureGroup="hmov" count="0">
      <extLst>
        <ext xmlns:x15="http://schemas.microsoft.com/office/spreadsheetml/2010/11/main" uri="{B97F6D7D-B522-45F9-BDA1-12C45D357490}">
          <x15:cacheHierarchy aggregatedColumn="13"/>
        </ext>
      </extLst>
    </cacheHierarchy>
    <cacheHierarchy uniqueName="[Measures].[existencias]" caption="existencias" measure="1" displayFolder="" measureGroup="hmov" count="0" oneField="1">
      <fieldsUsage count="1">
        <fieldUsage x="3"/>
      </fieldsUsage>
    </cacheHierarchy>
    <cacheHierarchy uniqueName="[Measures].[vida]" caption="vida" measure="1" displayFolder="" measureGroup="hmov" count="0" oneField="1">
      <fieldsUsage count="1">
        <fieldUsage x="0"/>
      </fieldsUsage>
    </cacheHierarchy>
    <cacheHierarchy uniqueName="[Measures].[cost]" caption="cost" measure="1" displayFolder="" measureGroup="hmov" count="0" oneField="1">
      <fieldsUsage count="1">
        <fieldUsage x="2"/>
      </fieldsUsage>
    </cacheHierarchy>
    <cacheHierarchy uniqueName="[Measures].[salCant]" caption="salCant" measure="1" displayFolder="" measureGroup="hmov" count="0"/>
    <cacheHierarchy uniqueName="[Measures].[salFrec]" caption="salFrec" measure="1" displayFolder="" measureGroup="hmov" count="0"/>
    <cacheHierarchy uniqueName="[Measures].[salCost]" caption="salCost" measure="1" displayFolder="" measureGroup="hmov" count="0"/>
    <cacheHierarchy uniqueName="[Measures].[Medida 1]" caption="Medida 1" measure="1" displayFolder="" measureGroup="hmov" count="0"/>
    <cacheHierarchy uniqueName="[Measures].[entCost]" caption="entCost" measure="1" displayFolder="" measureGroup="hmov" count="0"/>
    <cacheHierarchy uniqueName="[Measures].[__XL_Count hmov]" caption="__XL_Count hmov" measure="1" displayFolder="" measureGroup="hmov" count="0" hidden="1"/>
    <cacheHierarchy uniqueName="[Measures].[__XL_Count prod]" caption="__XL_Count prod" measure="1" displayFolder="" measureGroup="prod" count="0" hidden="1"/>
    <cacheHierarchy uniqueName="[Measures].[__XL_Count prov]" caption="__XL_Count prov" measure="1" displayFolder="" measureGroup="prov" count="0" hidden="1"/>
    <cacheHierarchy uniqueName="[Measures].[__XL_Count suc]" caption="__XL_Count suc" measure="1" displayFolder="" measureGroup="suc" count="0" hidden="1"/>
    <cacheHierarchy uniqueName="[Measures].[__XL_Count tmov]" caption="__XL_Count tmov" measure="1" displayFolder="" measureGroup="tmov" count="0" hidden="1"/>
    <cacheHierarchy uniqueName="[Measures].[__XL_Count area]" caption="__XL_Count area" measure="1" displayFolder="" measureGroup="area" count="0" hidden="1"/>
    <cacheHierarchy uniqueName="[Measures].[__No measures defined]" caption="__No measures defined" measure="1" displayFolder="" count="0" hidden="1"/>
  </cacheHierarchies>
  <kpis count="0"/>
  <dimensions count="7">
    <dimension name="area" uniqueName="[area]" caption="area"/>
    <dimension name="hmov" uniqueName="[hmov]" caption="hmov"/>
    <dimension measure="1" name="Measures" uniqueName="[Measures]" caption="Measures"/>
    <dimension name="prod" uniqueName="[prod]" caption="prod"/>
    <dimension name="prov" uniqueName="[prov]" caption="prov"/>
    <dimension name="suc" uniqueName="[suc]" caption="suc"/>
    <dimension name="tmov" uniqueName="[tmov]" caption="tmov"/>
  </dimensions>
  <measureGroups count="6">
    <measureGroup name="area" caption="area"/>
    <measureGroup name="hmov" caption="hmov"/>
    <measureGroup name="prod" caption="prod"/>
    <measureGroup name="prov" caption="prov"/>
    <measureGroup name="suc" caption="suc"/>
    <measureGroup name="tmov" caption="tmov"/>
  </measureGroups>
  <maps count="10">
    <map measureGroup="0" dimension="0"/>
    <map measureGroup="1" dimension="1"/>
    <map measureGroup="1" dimension="3"/>
    <map measureGroup="1" dimension="4"/>
    <map measureGroup="1" dimension="5"/>
    <map measureGroup="1" dimension="6"/>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94120D-C432-4CFC-AAFD-48EBA516BB00}" name="dashInv" cacheId="26" applyNumberFormats="0" applyBorderFormats="0" applyFontFormats="0" applyPatternFormats="0" applyAlignmentFormats="0" applyWidthHeightFormats="1" dataCaption="Valores" tag="5915428a-92dc-4960-94dc-af5010548f29" updatedVersion="8" minRefreshableVersion="3" useAutoFormatting="1" subtotalHiddenItems="1" itemPrintTitles="1" createdVersion="8" indent="0" outline="1" outlineData="1" multipleFieldFilters="0" rowHeaderCaption="">
  <location ref="A3:D9" firstHeaderRow="0" firstDataRow="1" firstDataCol="1" rowPageCount="1" colPageCount="1"/>
  <pivotFields count="7">
    <pivotField dataField="1" subtotalTop="0" showAll="0" defaultSubtotal="0"/>
    <pivotField axis="axisPage" allDrilled="1" subtotalTop="0" showAll="0" dataSourceSort="1" defaultSubtotal="0" defaultAttributeDrillState="1"/>
    <pivotField dataField="1" subtotalTop="0" showAll="0" defaultSubtotal="0"/>
    <pivotField dataField="1" subtotalTop="0" showAll="0" defaultSubtotal="0"/>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3">
        <item x="0"/>
        <item x="1"/>
        <item x="2"/>
      </items>
    </pivotField>
  </pivotFields>
  <rowFields count="3">
    <field x="5"/>
    <field x="4"/>
    <field x="6"/>
  </rowFields>
  <rowItems count="6">
    <i>
      <x/>
    </i>
    <i r="1">
      <x/>
    </i>
    <i r="2">
      <x/>
    </i>
    <i r="2">
      <x v="1"/>
    </i>
    <i r="2">
      <x v="2"/>
    </i>
    <i t="grand">
      <x/>
    </i>
  </rowItems>
  <colFields count="1">
    <field x="-2"/>
  </colFields>
  <colItems count="3">
    <i>
      <x/>
    </i>
    <i i="1">
      <x v="1"/>
    </i>
    <i i="2">
      <x v="2"/>
    </i>
  </colItems>
  <pageFields count="1">
    <pageField fld="1" hier="13" name="[hmov].[col_existencias].&amp;[3]" cap="3"/>
  </pageFields>
  <dataFields count="3">
    <dataField name="CantidadExistente" fld="3" subtotal="count" baseField="0" baseItem="0"/>
    <dataField name="ValorExistente" fld="2" subtotal="count" baseField="0" baseItem="0"/>
    <dataField name="VidaPromedio" fld="0" subtotal="count" baseField="0" baseItem="0"/>
  </dataFields>
  <formats count="15">
    <format dxfId="57">
      <pivotArea dataOnly="0" grandRow="1" fieldPosition="0"/>
    </format>
    <format dxfId="56">
      <pivotArea grandRow="1" outline="0" collapsedLevelsAreSubtotals="1" fieldPosition="0"/>
    </format>
    <format dxfId="55">
      <pivotArea dataOnly="0" labelOnly="1" grandRow="1" outline="0" fieldPosition="0"/>
    </format>
    <format dxfId="54">
      <pivotArea type="all" dataOnly="0" outline="0" fieldPosition="0"/>
    </format>
    <format dxfId="53">
      <pivotArea outline="0" collapsedLevelsAreSubtotals="1" fieldPosition="0">
        <references count="1">
          <reference field="4294967294" count="2" selected="0">
            <x v="1"/>
            <x v="2"/>
          </reference>
        </references>
      </pivotArea>
    </format>
    <format dxfId="52">
      <pivotArea outline="0" collapsedLevelsAreSubtotals="1" fieldPosition="0">
        <references count="1">
          <reference field="4294967294" count="1" selected="0">
            <x v="0"/>
          </reference>
        </references>
      </pivotArea>
    </format>
    <format dxfId="51">
      <pivotArea outline="0" collapsedLevelsAreSubtotals="1" fieldPosition="0"/>
    </format>
    <format dxfId="50">
      <pivotArea dataOnly="0" labelOnly="1" outline="0" fieldPosition="0">
        <references count="1">
          <reference field="1" count="0"/>
        </references>
      </pivotArea>
    </format>
    <format dxfId="49">
      <pivotArea dataOnly="0" labelOnly="1" outline="0" fieldPosition="0">
        <references count="1">
          <reference field="4294967294" count="3">
            <x v="0"/>
            <x v="1"/>
            <x v="2"/>
          </reference>
        </references>
      </pivotArea>
    </format>
    <format dxfId="48">
      <pivotArea field="1" type="button" dataOnly="0" labelOnly="1" outline="0" axis="axisPage" fieldPosition="0"/>
    </format>
    <format dxfId="47">
      <pivotArea field="5" type="button" dataOnly="0" labelOnly="1" outline="0" axis="axisRow" fieldPosition="0"/>
    </format>
    <format dxfId="46">
      <pivotArea dataOnly="0" labelOnly="1" fieldPosition="0">
        <references count="1">
          <reference field="5" count="0"/>
        </references>
      </pivotArea>
    </format>
    <format dxfId="45">
      <pivotArea dataOnly="0" labelOnly="1" grandRow="1" outline="0" fieldPosition="0"/>
    </format>
    <format dxfId="44">
      <pivotArea dataOnly="0" labelOnly="1" fieldPosition="0">
        <references count="2">
          <reference field="4" count="0"/>
          <reference field="5" count="0" selected="0"/>
        </references>
      </pivotArea>
    </format>
    <format dxfId="43">
      <pivotArea dataOnly="0" labelOnly="1" fieldPosition="0">
        <references count="3">
          <reference field="4" count="0" selected="0"/>
          <reference field="5" count="0" selected="0"/>
          <reference field="6" count="0"/>
        </references>
      </pivotArea>
    </format>
  </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hmov].[col_existencias].&amp;[3]"/>
        <member name="[hmov].[col_existencias].&amp;[23]"/>
        <member name="[hmov].[col_existencias].&amp;[3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CantidadExistente"/>
    <pivotHierarchy dragToRow="0" dragToCol="0" dragToPage="0" dragToData="1" caption="VidaPromedio"/>
    <pivotHierarchy dragToRow="0" dragToCol="0" dragToPage="0" dragToData="1" caption="ValorExisten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17"/>
    <rowHierarchyUsage hierarchyUsage="15"/>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
        <x15:activeTabTopLevelEntity name="[hmov]"/>
        <x15:activeTabTopLevelEntity name="[ar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A97E05-F634-4477-A9E6-F8364F0520F3}" name="dashEnt" cacheId="25" applyNumberFormats="0" applyBorderFormats="0" applyFontFormats="0" applyPatternFormats="0" applyAlignmentFormats="0" applyWidthHeightFormats="1" dataCaption="Valores" tag="0b6b31bd-255d-4c18-bdaa-a53e9bceae8f" updatedVersion="8" minRefreshableVersion="3" useAutoFormatting="1" itemPrintTitles="1" createdVersion="8" indent="0" outline="1" outlineData="1" multipleFieldFilters="0" rowHeaderCaption="">
  <location ref="A3:B12" firstHeaderRow="1" firstDataRow="1" firstDataCol="1" rowPageCount="1" colPageCount="1"/>
  <pivotFields count="6">
    <pivotField dataField="1" subtotalTop="0" showAll="0" defaultSubtotal="0"/>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xis="axisPage" allDrilled="1" subtotalTop="0" showAll="0" dataSourceSort="1" defaultSubtotal="0" defaultAttributeDrillState="1"/>
  </pivotFields>
  <rowFields count="3">
    <field x="3"/>
    <field x="2"/>
    <field x="1"/>
  </rowFields>
  <rowItems count="9">
    <i>
      <x/>
    </i>
    <i r="1">
      <x/>
    </i>
    <i r="2">
      <x/>
    </i>
    <i r="2">
      <x v="1"/>
    </i>
    <i>
      <x v="1"/>
    </i>
    <i r="1">
      <x/>
    </i>
    <i r="2">
      <x/>
    </i>
    <i r="2">
      <x v="1"/>
    </i>
    <i t="grand">
      <x/>
    </i>
  </rowItems>
  <colItems count="1">
    <i/>
  </colItems>
  <pageFields count="1">
    <pageField fld="5" hier="21" name="[prov].[IDPROVEEDOR].&amp;[1]" cap="1"/>
  </pageFields>
  <dataFields count="1">
    <dataField name="ValorEntrada" fld="0" subtotal="count" baseField="0" baseItem="0"/>
  </dataFields>
  <formats count="13">
    <format dxfId="42">
      <pivotArea type="all" dataOnly="0" outline="0" fieldPosition="0"/>
    </format>
    <format dxfId="41">
      <pivotArea outline="0" collapsedLevelsAreSubtotals="1" fieldPosition="0">
        <references count="1">
          <reference field="4294967294" count="1" selected="0">
            <x v="0"/>
          </reference>
        </references>
      </pivotArea>
    </format>
    <format dxfId="40">
      <pivotArea dataOnly="0" labelOnly="1" fieldPosition="0">
        <references count="2">
          <reference field="2" count="0"/>
          <reference field="3" count="1" selected="0">
            <x v="0"/>
          </reference>
        </references>
      </pivotArea>
    </format>
    <format dxfId="39">
      <pivotArea dataOnly="0" labelOnly="1" fieldPosition="0">
        <references count="2">
          <reference field="2" count="0"/>
          <reference field="3" count="1" selected="0">
            <x v="1"/>
          </reference>
        </references>
      </pivotArea>
    </format>
    <format dxfId="38">
      <pivotArea dataOnly="0" labelOnly="1" fieldPosition="0">
        <references count="3">
          <reference field="1" count="0"/>
          <reference field="2" count="0" selected="0"/>
          <reference field="3" count="1" selected="0">
            <x v="0"/>
          </reference>
        </references>
      </pivotArea>
    </format>
    <format dxfId="37">
      <pivotArea dataOnly="0" labelOnly="1" fieldPosition="0">
        <references count="3">
          <reference field="1" count="0"/>
          <reference field="2" count="0" selected="0"/>
          <reference field="3" count="1" selected="0">
            <x v="1"/>
          </reference>
        </references>
      </pivotArea>
    </format>
    <format dxfId="36">
      <pivotArea outline="0" collapsedLevelsAreSubtotals="1" fieldPosition="0"/>
    </format>
    <format dxfId="35">
      <pivotArea dataOnly="0" labelOnly="1" outline="0" fieldPosition="0">
        <references count="1">
          <reference field="5" count="0"/>
        </references>
      </pivotArea>
    </format>
    <format dxfId="34">
      <pivotArea dataOnly="0" labelOnly="1" outline="0" fieldPosition="0">
        <references count="1">
          <reference field="4294967294" count="1">
            <x v="0"/>
          </reference>
        </references>
      </pivotArea>
    </format>
    <format dxfId="33">
      <pivotArea field="5" type="button" dataOnly="0" labelOnly="1" outline="0" axis="axisPage" fieldPosition="0"/>
    </format>
    <format dxfId="32">
      <pivotArea field="3" type="button" dataOnly="0" labelOnly="1" outline="0" axis="axisRow" fieldPosition="0"/>
    </format>
    <format dxfId="31">
      <pivotArea dataOnly="0" labelOnly="1" fieldPosition="0">
        <references count="1">
          <reference field="3" count="0"/>
        </references>
      </pivotArea>
    </format>
    <format dxfId="30">
      <pivotArea dataOnly="0" labelOnly="1" grandRow="1" outline="0" fieldPosition="0"/>
    </format>
  </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prod].[EXISTENCIA].&amp;[0]"/>
        <member name="[prod].[EXISTENCIA].&amp;[65]"/>
      </members>
    </pivotHierarchy>
    <pivotHierarchy dragToData="1"/>
    <pivotHierarchy multipleItemSelectionAllowed="1" dragToData="1">
      <members count="4" level="1">
        <member name="[prov].[IDPROVEEDOR].&amp;[1]"/>
        <member name="[prov].[IDPROVEEDOR].&amp;[2]"/>
        <member name="[prov].[IDPROVEEDOR].&amp;[3]"/>
        <member name="[prov].[IDPROVEEDOR].&amp;[4]"/>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CantidadEntrada"/>
    <pivotHierarchy dragToRow="0" dragToCol="0" dragToPage="0" dragToData="1" caption="ValorEntrad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20"/>
    <rowHierarchyUsage hierarchyUsage="17"/>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v]"/>
        <x15:activeTabTopLevelEntity name="[hmov]"/>
        <x15:activeTabTopLevelEntity name="[pro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953119-608D-4D53-84E5-0B5A22C7DBCE}" name="dashSal" cacheId="24" applyNumberFormats="0" applyBorderFormats="0" applyFontFormats="0" applyPatternFormats="0" applyAlignmentFormats="0" applyWidthHeightFormats="1" dataCaption="Valores" tag="67fbd0ca-7456-4051-903b-40af6c8d93ec" updatedVersion="8" minRefreshableVersion="3" useAutoFormatting="1" itemPrintTitles="1" createdVersion="8" indent="0" outline="1" outlineData="1" multipleFieldFilters="0" rowHeaderCaption="">
  <location ref="A3:D8" firstHeaderRow="0" firstDataRow="1" firstDataCol="1" rowPageCount="1" colPageCount="1"/>
  <pivotFields count="7">
    <pivotField dataField="1" showAll="0" defaultSubtotal="0"/>
    <pivotField dataField="1" showAll="0" defaultSubtotal="0"/>
    <pivotField dataField="1" showAll="0" defaultSubtotal="0"/>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xis="axisPage" allDrilled="1" subtotalTop="0" showAll="0" dataSourceSort="1" defaultSubtotal="0" defaultAttributeDrillState="1"/>
  </pivotFields>
  <rowFields count="3">
    <field x="5"/>
    <field x="4"/>
    <field x="3"/>
  </rowFields>
  <rowItems count="5">
    <i>
      <x/>
    </i>
    <i r="1">
      <x/>
    </i>
    <i r="2">
      <x/>
    </i>
    <i r="2">
      <x v="1"/>
    </i>
    <i t="grand">
      <x/>
    </i>
  </rowItems>
  <colFields count="1">
    <field x="-2"/>
  </colFields>
  <colItems count="3">
    <i>
      <x/>
    </i>
    <i i="1">
      <x v="1"/>
    </i>
    <i i="2">
      <x v="2"/>
    </i>
  </colItems>
  <pageFields count="1">
    <pageField fld="6" hier="23" name="[suc].[IDSUCURSAL].&amp;[1]" cap="1"/>
  </pageFields>
  <dataFields count="3">
    <dataField name="ValorTraspaso" fld="2" subtotal="count" baseField="0" baseItem="0"/>
    <dataField name="CantidadTraspaso" fld="0" subtotal="count" baseField="0" baseItem="0"/>
    <dataField name="FrecuenciaTraspaso" fld="1" subtotal="count" baseField="0" baseItem="0"/>
  </dataFields>
  <formats count="12">
    <format dxfId="29">
      <pivotArea type="all" dataOnly="0" outline="0" fieldPosition="0"/>
    </format>
    <format dxfId="28">
      <pivotArea outline="0" collapsedLevelsAreSubtotals="1" fieldPosition="0">
        <references count="1">
          <reference field="4294967294" count="2" selected="0">
            <x v="1"/>
            <x v="2"/>
          </reference>
        </references>
      </pivotArea>
    </format>
    <format dxfId="27">
      <pivotArea outline="0" collapsedLevelsAreSubtotals="1" fieldPosition="0">
        <references count="1">
          <reference field="4294967294" count="1" selected="0">
            <x v="0"/>
          </reference>
        </references>
      </pivotArea>
    </format>
    <format dxfId="26">
      <pivotArea outline="0" collapsedLevelsAreSubtotals="1" fieldPosition="0"/>
    </format>
    <format dxfId="25">
      <pivotArea dataOnly="0" labelOnly="1" outline="0" fieldPosition="0">
        <references count="1">
          <reference field="6" count="0"/>
        </references>
      </pivotArea>
    </format>
    <format dxfId="24">
      <pivotArea dataOnly="0" labelOnly="1" outline="0" fieldPosition="0">
        <references count="1">
          <reference field="4294967294" count="3">
            <x v="0"/>
            <x v="1"/>
            <x v="2"/>
          </reference>
        </references>
      </pivotArea>
    </format>
    <format dxfId="23">
      <pivotArea field="6" type="button" dataOnly="0" labelOnly="1" outline="0" axis="axisPage" fieldPosition="0"/>
    </format>
    <format dxfId="22">
      <pivotArea field="5" type="button" dataOnly="0" labelOnly="1" outline="0" axis="axisRow" fieldPosition="0"/>
    </format>
    <format dxfId="21">
      <pivotArea dataOnly="0" labelOnly="1" fieldPosition="0">
        <references count="1">
          <reference field="5" count="0"/>
        </references>
      </pivotArea>
    </format>
    <format dxfId="20">
      <pivotArea dataOnly="0" labelOnly="1" grandRow="1" outline="0" fieldPosition="0"/>
    </format>
    <format dxfId="19">
      <pivotArea dataOnly="0" labelOnly="1" fieldPosition="0">
        <references count="2">
          <reference field="4" count="0"/>
          <reference field="5" count="0" selected="0"/>
        </references>
      </pivotArea>
    </format>
    <format dxfId="18">
      <pivotArea dataOnly="0" labelOnly="1" fieldPosition="0">
        <references count="3">
          <reference field="3" count="0"/>
          <reference field="4" count="0" selected="0"/>
          <reference field="5" count="0" selected="0"/>
        </references>
      </pivotArea>
    </format>
  </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suc].[IDSUCURSAL].&amp;[1]"/>
        <member name="[suc].[IDSUCURSAL].&amp;[2]"/>
        <member name="[suc].[IDSUCURSAL].&amp;[3]"/>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CantidadTraspaso"/>
    <pivotHierarchy dragToRow="0" dragToCol="0" dragToPage="0" dragToData="1" caption="FrecuenciaTraspaso"/>
    <pivotHierarchy dragToRow="0" dragToCol="0" dragToPage="0" dragToData="1" caption="ValorTraspaso"/>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22"/>
    <rowHierarchyUsage hierarchyUsage="17"/>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c]"/>
        <x15:activeTabTopLevelEntity name="[hmov]"/>
        <x15:activeTabTopLevelEntity name="[area]"/>
        <x15:activeTabTopLevelEntity name="[prod]"/>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945747-7367-427A-AAC7-505CBA012648}" name="prod" displayName="prod" ref="A1:E106" totalsRowShown="0">
  <autoFilter ref="A1:E106" xr:uid="{3B945747-7367-427A-AAC7-505CBA012648}"/>
  <tableColumns count="5">
    <tableColumn id="1" xr3:uid="{D1ED3B1A-88BF-4660-9333-2E1B49F16547}" name="PRODUCTO"/>
    <tableColumn id="4" xr3:uid="{077F18B3-D03E-436C-ADDA-C6B84AD8609F}" name="UNIDAD"/>
    <tableColumn id="7" xr3:uid="{FB6CE7D1-8029-42FC-8EFD-50CC8BB2E936}" name="AREA"/>
    <tableColumn id="6" xr3:uid="{3BD268D1-EF0E-4176-9856-1E4007FFDBE4}" name="IDPROD" dataDxfId="17"/>
    <tableColumn id="2" xr3:uid="{7D3DE1B2-1C0E-4423-A4AE-1083B5A37EC1}" name="EXISTENCIA" dataDxfId="16">
      <calculatedColumnFormula>SUMIFS(hmov[CANTIDAD],hmov[IDPRODUCTO],prod[[#This Row],[IDPROD]],hmov[INOUT],1)-SUMIFS(hmov[CANTIDAD],hmov[IDPRODUCTO],prod[[#This Row],[IDPROD]],hmov[INOUT],0)</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4419119-D8F6-4266-96A2-C36B2C1800E7}" name="prov" displayName="prov" ref="A1:B10" totalsRowShown="0">
  <autoFilter ref="A1:B10" xr:uid="{74419119-D8F6-4266-96A2-C36B2C1800E7}"/>
  <tableColumns count="2">
    <tableColumn id="1" xr3:uid="{AB441392-509E-457D-BC1C-F98AE59CEA69}" name="PROVEEDOR"/>
    <tableColumn id="2" xr3:uid="{CC5219C6-52C3-4D9A-983C-5A45FF275D80}" name="IDPROVEEDOR" dataDxfId="1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54B3E85-BFD7-48CA-AAF6-1803BC020CDB}" name="suc" displayName="suc" ref="A1:B8" totalsRowShown="0">
  <autoFilter ref="A1:B8" xr:uid="{554B3E85-BFD7-48CA-AAF6-1803BC020CDB}"/>
  <tableColumns count="2">
    <tableColumn id="1" xr3:uid="{19759173-5F83-4587-A626-4E872A8F979A}" name="SUCURSAL"/>
    <tableColumn id="2" xr3:uid="{3B9A8D59-E50D-41F3-B647-CE78BA4CF77B}" name="IDSUCURSAL" dataDxfId="1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5AA69EC-C32D-4CB3-A62A-2015B0F2393A}" name="ar" displayName="ar" ref="A1:B21" totalsRowShown="0">
  <autoFilter ref="A1:B21" xr:uid="{35AA69EC-C32D-4CB3-A62A-2015B0F2393A}"/>
  <tableColumns count="2">
    <tableColumn id="1" xr3:uid="{A9450D9B-7A4D-4449-BFDC-175A5CE41CF4}" name="AREA"/>
    <tableColumn id="2" xr3:uid="{6809EBFD-1386-4B71-AE0F-87814E7A0A60}" name="IDAREA" dataDxfId="13"/>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135F6C-5B17-4397-B23B-CE659D44BA21}" name="tmov" displayName="tmov" ref="A1:C4" totalsRowShown="0">
  <autoFilter ref="A1:C4" xr:uid="{FF135F6C-5B17-4397-B23B-CE659D44BA21}"/>
  <tableColumns count="3">
    <tableColumn id="1" xr3:uid="{E91BAEA4-7E0B-4111-9A84-E0C22F051EAB}" name="TIPO"/>
    <tableColumn id="2" xr3:uid="{550F5926-7656-4FD9-85A9-E80D30ED1D64}" name="INOUT"/>
    <tableColumn id="3" xr3:uid="{E28FD73B-32D3-4F7E-9EF7-97353D61553C}" name="IDTIPO" dataDxfId="1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1C0EDB-2083-4D68-A429-91958B4E1066}" name="hmov" displayName="hmov" ref="A1:K16" totalsRowShown="0" dataDxfId="11">
  <autoFilter ref="A1:K16" xr:uid="{871C0EDB-2083-4D68-A429-91958B4E1066}"/>
  <tableColumns count="11">
    <tableColumn id="1" xr3:uid="{9B9544CD-669A-4781-A4A2-D72DA8F92247}" name="FECHA" dataDxfId="10"/>
    <tableColumn id="2" xr3:uid="{8205D17E-783C-487B-9559-9823D34C6208}" name="IDMOV" dataDxfId="9"/>
    <tableColumn id="3" xr3:uid="{8AF9B385-5AB1-4B05-8A15-833AFC66DA32}" name="IDTIPO" dataDxfId="8"/>
    <tableColumn id="4" xr3:uid="{C955AA5A-6BA6-4089-A0A3-BC75A339CFFA}" name="INOUT" dataDxfId="7"/>
    <tableColumn id="9" xr3:uid="{BB261342-3672-4DF6-803D-690AF9EC4A30}" name="IDSUCURSAL" dataDxfId="6"/>
    <tableColumn id="10" xr3:uid="{0BFBCF4C-D959-497F-AB46-9212EC59287B}" name="IDPROVEEDOR" dataDxfId="5"/>
    <tableColumn id="5" xr3:uid="{D4298A57-8EBD-4CA7-A753-9C36D40A5E0F}" name="IDPRODUCTO" dataDxfId="4"/>
    <tableColumn id="6" xr3:uid="{CB70D502-2F78-4FBA-8BFB-6E431BD5E12D}" name="CANTIDAD" dataDxfId="3"/>
    <tableColumn id="7" xr3:uid="{DE3F597D-B42D-458E-B9B1-5553201A990B}" name="COSTO" dataDxfId="2"/>
    <tableColumn id="11" xr3:uid="{B3946F2C-D42F-4DE8-B57E-B72EA1838C26}" name="LOTE" dataDxfId="1"/>
    <tableColumn id="8" xr3:uid="{21B09C58-A40A-4AB4-819C-446B7BC20964}" name="FECHA_CAD" dataDxfId="0"/>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ivotTable" Target="../pivotTables/pivotTable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30916-D9D3-4204-BBBF-75B012ED86F7}">
  <sheetPr codeName="dInv">
    <tabColor rgb="FF00B050"/>
  </sheetPr>
  <dimension ref="A1:I15"/>
  <sheetViews>
    <sheetView topLeftCell="A2" zoomScaleNormal="100" workbookViewId="0">
      <selection activeCell="F11" sqref="F11"/>
    </sheetView>
  </sheetViews>
  <sheetFormatPr baseColWidth="10" defaultRowHeight="15" x14ac:dyDescent="0.25"/>
  <cols>
    <col min="1" max="1" width="14.85546875" style="8" bestFit="1" customWidth="1"/>
    <col min="2" max="2" width="22.7109375" style="10" bestFit="1" customWidth="1"/>
    <col min="3" max="3" width="14" style="10" bestFit="1" customWidth="1"/>
    <col min="4" max="4" width="13.7109375" style="10" bestFit="1" customWidth="1"/>
  </cols>
  <sheetData>
    <row r="1" spans="1:9" hidden="1" x14ac:dyDescent="0.25">
      <c r="A1" s="16" t="s">
        <v>3</v>
      </c>
      <c r="B1" s="10" t="s" vm="1">
        <v>185</v>
      </c>
    </row>
    <row r="3" spans="1:9" x14ac:dyDescent="0.25">
      <c r="A3" s="16" t="s">
        <v>5</v>
      </c>
      <c r="B3" s="10" t="s">
        <v>9</v>
      </c>
      <c r="C3" s="10" t="s">
        <v>11</v>
      </c>
      <c r="D3" s="10" t="s">
        <v>10</v>
      </c>
    </row>
    <row r="4" spans="1:9" x14ac:dyDescent="0.25">
      <c r="A4" s="8" t="s">
        <v>57</v>
      </c>
      <c r="B4" s="11"/>
      <c r="C4" s="11"/>
      <c r="D4" s="11"/>
    </row>
    <row r="5" spans="1:9" x14ac:dyDescent="0.25">
      <c r="A5" s="19" t="s">
        <v>56</v>
      </c>
      <c r="B5" s="11"/>
      <c r="C5" s="11"/>
      <c r="D5" s="11"/>
    </row>
    <row r="6" spans="1:9" x14ac:dyDescent="0.25">
      <c r="A6" s="20" t="s">
        <v>186</v>
      </c>
      <c r="B6" s="11">
        <v>39</v>
      </c>
      <c r="C6" s="12">
        <v>2554.5</v>
      </c>
      <c r="D6" s="11">
        <v>-10</v>
      </c>
    </row>
    <row r="7" spans="1:9" x14ac:dyDescent="0.25">
      <c r="A7" s="20" t="s">
        <v>187</v>
      </c>
      <c r="B7" s="11">
        <v>23</v>
      </c>
      <c r="C7" s="12">
        <v>276</v>
      </c>
      <c r="D7" s="11">
        <v>-10</v>
      </c>
    </row>
    <row r="8" spans="1:9" x14ac:dyDescent="0.25">
      <c r="A8" s="20" t="s">
        <v>188</v>
      </c>
      <c r="B8" s="11">
        <v>3</v>
      </c>
      <c r="C8" s="12">
        <v>33</v>
      </c>
      <c r="D8" s="11">
        <v>-10</v>
      </c>
    </row>
    <row r="9" spans="1:9" x14ac:dyDescent="0.25">
      <c r="A9" s="13" t="s">
        <v>2</v>
      </c>
      <c r="B9" s="14">
        <v>65</v>
      </c>
      <c r="C9" s="15">
        <v>2863.5</v>
      </c>
      <c r="D9" s="14">
        <v>-10</v>
      </c>
    </row>
    <row r="14" spans="1:9" x14ac:dyDescent="0.25">
      <c r="I14" s="9"/>
    </row>
    <row r="15" spans="1:9" x14ac:dyDescent="0.25">
      <c r="I15" s="9"/>
    </row>
  </sheetData>
  <pageMargins left="0.7" right="0.7" top="0.75" bottom="0.75" header="0.3" footer="0.3"/>
  <pageSetup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actualiza">
                <anchor moveWithCells="1" sizeWithCells="1">
                  <from>
                    <xdr:col>4</xdr:col>
                    <xdr:colOff>752475</xdr:colOff>
                    <xdr:row>2</xdr:row>
                    <xdr:rowOff>0</xdr:rowOff>
                  </from>
                  <to>
                    <xdr:col>5</xdr:col>
                    <xdr:colOff>752475</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6AC5-6E26-4391-9CEE-FEE070D29CD7}">
  <sheetPr codeName="dEnt">
    <tabColor rgb="FF00B050"/>
  </sheetPr>
  <dimension ref="A1:D30"/>
  <sheetViews>
    <sheetView tabSelected="1" topLeftCell="A2" zoomScale="85" zoomScaleNormal="85" workbookViewId="0">
      <selection activeCell="F11" sqref="F11"/>
    </sheetView>
  </sheetViews>
  <sheetFormatPr baseColWidth="10" defaultRowHeight="15" x14ac:dyDescent="0.25"/>
  <cols>
    <col min="1" max="1" width="21.140625" style="8" bestFit="1" customWidth="1"/>
    <col min="2" max="2" width="24.28515625" style="10" bestFit="1" customWidth="1"/>
    <col min="3" max="3" width="15.5703125" style="10" bestFit="1" customWidth="1"/>
    <col min="4" max="4" width="9.140625" style="10" bestFit="1" customWidth="1"/>
  </cols>
  <sheetData>
    <row r="1" spans="1:4" hidden="1" x14ac:dyDescent="0.25">
      <c r="A1" s="16" t="s">
        <v>28</v>
      </c>
      <c r="B1" s="10" t="s" vm="2">
        <v>185</v>
      </c>
    </row>
    <row r="3" spans="1:4" x14ac:dyDescent="0.25">
      <c r="A3" s="16" t="s">
        <v>5</v>
      </c>
      <c r="B3" s="10" t="s">
        <v>12</v>
      </c>
      <c r="C3"/>
      <c r="D3"/>
    </row>
    <row r="4" spans="1:4" x14ac:dyDescent="0.25">
      <c r="A4" s="8" t="s">
        <v>159</v>
      </c>
      <c r="B4" s="11"/>
      <c r="C4"/>
      <c r="D4"/>
    </row>
    <row r="5" spans="1:4" x14ac:dyDescent="0.25">
      <c r="A5" s="19" t="s">
        <v>57</v>
      </c>
      <c r="B5" s="11"/>
      <c r="C5"/>
      <c r="D5"/>
    </row>
    <row r="6" spans="1:4" x14ac:dyDescent="0.25">
      <c r="A6" s="20" t="s">
        <v>58</v>
      </c>
      <c r="B6" s="12">
        <v>20</v>
      </c>
      <c r="C6"/>
      <c r="D6"/>
    </row>
    <row r="7" spans="1:4" x14ac:dyDescent="0.25">
      <c r="A7" s="20" t="s">
        <v>56</v>
      </c>
      <c r="B7" s="12">
        <v>320</v>
      </c>
      <c r="C7"/>
    </row>
    <row r="8" spans="1:4" x14ac:dyDescent="0.25">
      <c r="A8" s="8" t="s">
        <v>98</v>
      </c>
      <c r="B8" s="11"/>
      <c r="C8"/>
    </row>
    <row r="9" spans="1:4" x14ac:dyDescent="0.25">
      <c r="A9" s="19" t="s">
        <v>57</v>
      </c>
      <c r="B9" s="11"/>
      <c r="C9"/>
    </row>
    <row r="10" spans="1:4" x14ac:dyDescent="0.25">
      <c r="A10" s="20" t="s">
        <v>58</v>
      </c>
      <c r="B10" s="12">
        <v>340</v>
      </c>
      <c r="C10"/>
    </row>
    <row r="11" spans="1:4" x14ac:dyDescent="0.25">
      <c r="A11" s="20" t="s">
        <v>56</v>
      </c>
      <c r="B11" s="12">
        <v>4444</v>
      </c>
      <c r="C11"/>
    </row>
    <row r="12" spans="1:4" x14ac:dyDescent="0.25">
      <c r="A12" s="8" t="s">
        <v>2</v>
      </c>
      <c r="B12" s="12">
        <v>5124</v>
      </c>
      <c r="C12"/>
    </row>
    <row r="15" spans="1:4" x14ac:dyDescent="0.25">
      <c r="A15" s="10"/>
      <c r="B15"/>
      <c r="C15"/>
      <c r="D15"/>
    </row>
    <row r="16" spans="1:4" x14ac:dyDescent="0.25">
      <c r="A16" s="10"/>
      <c r="B16"/>
      <c r="C16"/>
      <c r="D16"/>
    </row>
    <row r="17" spans="1:4" x14ac:dyDescent="0.25">
      <c r="A17" s="10"/>
      <c r="B17"/>
      <c r="C17"/>
      <c r="D17"/>
    </row>
    <row r="18" spans="1:4" x14ac:dyDescent="0.25">
      <c r="A18" s="10"/>
      <c r="B18"/>
      <c r="C18"/>
      <c r="D18"/>
    </row>
    <row r="19" spans="1:4" x14ac:dyDescent="0.25">
      <c r="A19" s="10"/>
      <c r="B19"/>
      <c r="C19"/>
      <c r="D19"/>
    </row>
    <row r="20" spans="1:4" x14ac:dyDescent="0.25">
      <c r="A20" s="10"/>
      <c r="B20"/>
      <c r="C20"/>
      <c r="D20"/>
    </row>
    <row r="21" spans="1:4" x14ac:dyDescent="0.25">
      <c r="A21" s="10"/>
      <c r="B21"/>
      <c r="C21"/>
      <c r="D21"/>
    </row>
    <row r="22" spans="1:4" x14ac:dyDescent="0.25">
      <c r="A22" s="10"/>
      <c r="B22"/>
      <c r="C22"/>
      <c r="D22"/>
    </row>
    <row r="23" spans="1:4" x14ac:dyDescent="0.25">
      <c r="A23" s="10"/>
      <c r="B23"/>
      <c r="C23"/>
      <c r="D23"/>
    </row>
    <row r="24" spans="1:4" x14ac:dyDescent="0.25">
      <c r="A24" s="10"/>
      <c r="B24"/>
      <c r="C24"/>
      <c r="D24"/>
    </row>
    <row r="25" spans="1:4" x14ac:dyDescent="0.25">
      <c r="A25" s="10"/>
      <c r="B25"/>
      <c r="C25"/>
      <c r="D25"/>
    </row>
    <row r="26" spans="1:4" x14ac:dyDescent="0.25">
      <c r="A26" s="10"/>
      <c r="B26"/>
      <c r="C26"/>
      <c r="D26"/>
    </row>
    <row r="27" spans="1:4" x14ac:dyDescent="0.25">
      <c r="A27" s="10"/>
      <c r="B27"/>
      <c r="C27"/>
      <c r="D27"/>
    </row>
    <row r="28" spans="1:4" x14ac:dyDescent="0.25">
      <c r="A28" s="10"/>
      <c r="B28"/>
      <c r="C28"/>
      <c r="D28"/>
    </row>
    <row r="29" spans="1:4" x14ac:dyDescent="0.25">
      <c r="A29" s="10"/>
      <c r="B29"/>
      <c r="C29"/>
      <c r="D29"/>
    </row>
    <row r="30" spans="1:4" x14ac:dyDescent="0.25">
      <c r="A30" s="10"/>
      <c r="B30"/>
      <c r="C30"/>
      <c r="D30"/>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ctualiza">
                <anchor moveWithCells="1" sizeWithCells="1">
                  <from>
                    <xdr:col>4</xdr:col>
                    <xdr:colOff>0</xdr:colOff>
                    <xdr:row>2</xdr:row>
                    <xdr:rowOff>0</xdr:rowOff>
                  </from>
                  <to>
                    <xdr:col>5</xdr:col>
                    <xdr:colOff>0</xdr:colOff>
                    <xdr:row>2</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0E445-477E-4935-96A4-54EEF5C9D7BD}">
  <sheetPr codeName="dSal">
    <tabColor rgb="FF00B050"/>
  </sheetPr>
  <dimension ref="A1:D8"/>
  <sheetViews>
    <sheetView topLeftCell="A2" workbookViewId="0">
      <selection activeCell="A2" sqref="A2"/>
    </sheetView>
  </sheetViews>
  <sheetFormatPr baseColWidth="10" defaultRowHeight="15" x14ac:dyDescent="0.25"/>
  <cols>
    <col min="1" max="1" width="21.140625" style="8" bestFit="1" customWidth="1"/>
    <col min="2" max="2" width="22.7109375" style="10" bestFit="1" customWidth="1"/>
    <col min="3" max="3" width="16.7109375" style="10" bestFit="1" customWidth="1"/>
    <col min="4" max="4" width="18.42578125" style="10" bestFit="1" customWidth="1"/>
    <col min="5" max="5" width="14.28515625" customWidth="1"/>
    <col min="6" max="6" width="15.85546875" customWidth="1"/>
    <col min="7" max="7" width="15" customWidth="1"/>
    <col min="8" max="8" width="13.5703125" customWidth="1"/>
  </cols>
  <sheetData>
    <row r="1" spans="1:4" hidden="1" x14ac:dyDescent="0.25">
      <c r="A1" s="16" t="s">
        <v>29</v>
      </c>
      <c r="B1" s="10" t="s" vm="3">
        <v>185</v>
      </c>
    </row>
    <row r="3" spans="1:4" x14ac:dyDescent="0.25">
      <c r="A3" s="16" t="s">
        <v>5</v>
      </c>
      <c r="B3" s="10" t="s">
        <v>6</v>
      </c>
      <c r="C3" s="10" t="s">
        <v>7</v>
      </c>
      <c r="D3" s="10" t="s">
        <v>8</v>
      </c>
    </row>
    <row r="4" spans="1:4" x14ac:dyDescent="0.25">
      <c r="A4" s="8" t="s">
        <v>167</v>
      </c>
      <c r="B4" s="11"/>
      <c r="C4" s="11"/>
      <c r="D4" s="11"/>
    </row>
    <row r="5" spans="1:4" x14ac:dyDescent="0.25">
      <c r="A5" s="19" t="s">
        <v>57</v>
      </c>
      <c r="B5" s="11"/>
      <c r="C5" s="11"/>
      <c r="D5" s="11"/>
    </row>
    <row r="6" spans="1:4" x14ac:dyDescent="0.25">
      <c r="A6" s="20" t="s">
        <v>58</v>
      </c>
      <c r="B6" s="12">
        <v>360</v>
      </c>
      <c r="C6" s="11">
        <v>20</v>
      </c>
      <c r="D6" s="11">
        <v>0</v>
      </c>
    </row>
    <row r="7" spans="1:4" x14ac:dyDescent="0.25">
      <c r="A7" s="20" t="s">
        <v>56</v>
      </c>
      <c r="B7" s="12">
        <v>220</v>
      </c>
      <c r="C7" s="11">
        <v>40</v>
      </c>
      <c r="D7" s="11">
        <v>0</v>
      </c>
    </row>
    <row r="8" spans="1:4" x14ac:dyDescent="0.25">
      <c r="A8" s="8" t="s">
        <v>2</v>
      </c>
      <c r="B8" s="12">
        <v>580</v>
      </c>
      <c r="C8" s="11">
        <v>60</v>
      </c>
      <c r="D8" s="11">
        <v>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
                <anchor moveWithCells="1" sizeWithCells="1">
                  <from>
                    <xdr:col>5</xdr:col>
                    <xdr:colOff>0</xdr:colOff>
                    <xdr:row>2</xdr:row>
                    <xdr:rowOff>0</xdr:rowOff>
                  </from>
                  <to>
                    <xdr:col>6</xdr:col>
                    <xdr:colOff>0</xdr:colOff>
                    <xdr:row>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5D131-21F0-4BC8-B9C4-4F79F83F9D7F}">
  <sheetPr codeName="notamov">
    <tabColor theme="8" tint="0.59999389629810485"/>
  </sheetPr>
  <dimension ref="A2:F31"/>
  <sheetViews>
    <sheetView zoomScale="85" zoomScaleNormal="85" workbookViewId="0">
      <selection activeCell="I10" sqref="I10"/>
    </sheetView>
  </sheetViews>
  <sheetFormatPr baseColWidth="10" defaultRowHeight="15" x14ac:dyDescent="0.25"/>
  <cols>
    <col min="1" max="2" width="17.7109375" customWidth="1"/>
    <col min="3" max="3" width="17.7109375" style="9" customWidth="1"/>
    <col min="4" max="6" width="17.7109375" customWidth="1"/>
  </cols>
  <sheetData>
    <row r="2" spans="1:6" x14ac:dyDescent="0.25">
      <c r="A2" s="3" t="s">
        <v>14</v>
      </c>
      <c r="B2" s="5">
        <v>44739</v>
      </c>
    </row>
    <row r="3" spans="1:6" x14ac:dyDescent="0.25">
      <c r="A3" s="3" t="s">
        <v>15</v>
      </c>
      <c r="B3" s="1" t="s">
        <v>13</v>
      </c>
    </row>
    <row r="4" spans="1:6" x14ac:dyDescent="0.25">
      <c r="A4" s="3" t="s">
        <v>16</v>
      </c>
      <c r="B4" s="1" t="s">
        <v>159</v>
      </c>
    </row>
    <row r="5" spans="1:6" x14ac:dyDescent="0.25">
      <c r="A5" s="3" t="s">
        <v>17</v>
      </c>
      <c r="B5" s="1" t="s">
        <v>0</v>
      </c>
    </row>
    <row r="6" spans="1:6" x14ac:dyDescent="0.25">
      <c r="A6" s="6" t="s">
        <v>18</v>
      </c>
      <c r="B6" s="4">
        <f>INDEX(tmov[INOUT],MATCH(nTIPO_MOV,tmov[TIPO],0))</f>
        <v>1</v>
      </c>
    </row>
    <row r="8" spans="1:6" x14ac:dyDescent="0.25">
      <c r="A8" s="2" t="s">
        <v>19</v>
      </c>
      <c r="B8" s="2" t="s">
        <v>20</v>
      </c>
      <c r="C8" s="18" t="s">
        <v>21</v>
      </c>
      <c r="D8" s="2" t="s">
        <v>22</v>
      </c>
      <c r="E8" s="2" t="s">
        <v>23</v>
      </c>
      <c r="F8" s="2" t="s">
        <v>24</v>
      </c>
    </row>
    <row r="9" spans="1:6" x14ac:dyDescent="0.25">
      <c r="A9" s="1"/>
      <c r="B9" s="1"/>
      <c r="C9" s="17"/>
      <c r="D9" s="1"/>
      <c r="E9" s="7"/>
      <c r="F9" s="1"/>
    </row>
    <row r="10" spans="1:6" x14ac:dyDescent="0.25">
      <c r="A10" s="1"/>
      <c r="B10" s="1"/>
      <c r="C10" s="17"/>
      <c r="D10" s="1"/>
      <c r="E10" s="7"/>
      <c r="F10" s="1"/>
    </row>
    <row r="11" spans="1:6" x14ac:dyDescent="0.25">
      <c r="A11" s="1"/>
      <c r="B11" s="1"/>
      <c r="C11" s="17"/>
      <c r="D11" s="1"/>
      <c r="E11" s="7"/>
      <c r="F11" s="1"/>
    </row>
    <row r="12" spans="1:6" x14ac:dyDescent="0.25">
      <c r="A12" s="1"/>
      <c r="B12" s="1"/>
      <c r="C12" s="17"/>
      <c r="D12" s="1"/>
      <c r="E12" s="1"/>
      <c r="F12" s="1"/>
    </row>
    <row r="13" spans="1:6" x14ac:dyDescent="0.25">
      <c r="A13" s="1"/>
      <c r="B13" s="1"/>
      <c r="C13" s="17"/>
      <c r="D13" s="1"/>
      <c r="E13" s="1"/>
      <c r="F13" s="1"/>
    </row>
    <row r="14" spans="1:6" x14ac:dyDescent="0.25">
      <c r="A14" s="1"/>
      <c r="B14" s="1"/>
      <c r="C14" s="17"/>
      <c r="D14" s="1"/>
      <c r="E14" s="1"/>
      <c r="F14" s="1"/>
    </row>
    <row r="15" spans="1:6" x14ac:dyDescent="0.25">
      <c r="A15" s="1"/>
      <c r="B15" s="1"/>
      <c r="C15" s="17"/>
      <c r="D15" s="1"/>
      <c r="E15" s="1"/>
      <c r="F15" s="1"/>
    </row>
    <row r="16" spans="1:6" x14ac:dyDescent="0.25">
      <c r="A16" s="1"/>
      <c r="B16" s="1"/>
      <c r="C16" s="17"/>
      <c r="D16" s="1"/>
      <c r="E16" s="1"/>
      <c r="F16" s="1"/>
    </row>
    <row r="17" spans="1:6" x14ac:dyDescent="0.25">
      <c r="A17" s="1"/>
      <c r="B17" s="1"/>
      <c r="C17" s="17"/>
      <c r="D17" s="1"/>
      <c r="E17" s="1"/>
      <c r="F17" s="1"/>
    </row>
    <row r="18" spans="1:6" x14ac:dyDescent="0.25">
      <c r="A18" s="1"/>
      <c r="B18" s="1"/>
      <c r="C18" s="17"/>
      <c r="D18" s="1"/>
      <c r="E18" s="1"/>
      <c r="F18" s="1"/>
    </row>
    <row r="19" spans="1:6" x14ac:dyDescent="0.25">
      <c r="A19" s="1"/>
      <c r="B19" s="1"/>
      <c r="C19" s="17"/>
      <c r="D19" s="1"/>
      <c r="E19" s="1"/>
      <c r="F19" s="1"/>
    </row>
    <row r="20" spans="1:6" x14ac:dyDescent="0.25">
      <c r="A20" s="1"/>
      <c r="B20" s="1"/>
      <c r="C20" s="17"/>
      <c r="D20" s="1"/>
      <c r="E20" s="1"/>
      <c r="F20" s="1"/>
    </row>
    <row r="21" spans="1:6" x14ac:dyDescent="0.25">
      <c r="A21" s="1"/>
      <c r="B21" s="1"/>
      <c r="C21" s="17"/>
      <c r="D21" s="1"/>
      <c r="E21" s="1"/>
      <c r="F21" s="1"/>
    </row>
    <row r="22" spans="1:6" x14ac:dyDescent="0.25">
      <c r="A22" s="1"/>
      <c r="B22" s="1"/>
      <c r="C22" s="17"/>
      <c r="D22" s="1"/>
      <c r="E22" s="1"/>
      <c r="F22" s="1"/>
    </row>
    <row r="23" spans="1:6" x14ac:dyDescent="0.25">
      <c r="A23" s="1"/>
      <c r="B23" s="1"/>
      <c r="C23" s="17"/>
      <c r="D23" s="1"/>
      <c r="E23" s="1"/>
      <c r="F23" s="1"/>
    </row>
    <row r="24" spans="1:6" x14ac:dyDescent="0.25">
      <c r="A24" s="1"/>
      <c r="B24" s="1"/>
      <c r="C24" s="17"/>
      <c r="D24" s="1"/>
      <c r="E24" s="1"/>
      <c r="F24" s="1"/>
    </row>
    <row r="25" spans="1:6" x14ac:dyDescent="0.25">
      <c r="A25" s="1"/>
      <c r="B25" s="1"/>
      <c r="C25" s="17"/>
      <c r="D25" s="1"/>
      <c r="E25" s="1"/>
      <c r="F25" s="1"/>
    </row>
    <row r="26" spans="1:6" x14ac:dyDescent="0.25">
      <c r="A26" s="1"/>
      <c r="B26" s="1"/>
      <c r="C26" s="17"/>
      <c r="D26" s="1"/>
      <c r="E26" s="1"/>
      <c r="F26" s="1"/>
    </row>
    <row r="27" spans="1:6" x14ac:dyDescent="0.25">
      <c r="A27" s="1"/>
      <c r="B27" s="1"/>
      <c r="C27" s="17"/>
      <c r="D27" s="1"/>
      <c r="E27" s="1"/>
      <c r="F27" s="1"/>
    </row>
    <row r="28" spans="1:6" x14ac:dyDescent="0.25">
      <c r="A28" s="1"/>
      <c r="B28" s="1"/>
      <c r="C28" s="17"/>
      <c r="D28" s="1"/>
      <c r="E28" s="1"/>
      <c r="F28" s="1"/>
    </row>
    <row r="29" spans="1:6" x14ac:dyDescent="0.25">
      <c r="A29" s="1"/>
      <c r="B29" s="1"/>
      <c r="C29" s="17"/>
      <c r="D29" s="1"/>
      <c r="E29" s="1"/>
      <c r="F29" s="1"/>
    </row>
    <row r="30" spans="1:6" x14ac:dyDescent="0.25">
      <c r="A30" s="1"/>
      <c r="B30" s="1"/>
      <c r="C30" s="17"/>
      <c r="D30" s="1"/>
      <c r="E30" s="1"/>
      <c r="F30" s="1"/>
    </row>
    <row r="31" spans="1:6" x14ac:dyDescent="0.25">
      <c r="A31" s="1"/>
      <c r="B31" s="1"/>
      <c r="C31" s="17"/>
      <c r="D31" s="1"/>
      <c r="E31" s="1"/>
      <c r="F31" s="1"/>
    </row>
  </sheetData>
  <dataValidations count="4">
    <dataValidation type="list" allowBlank="1" showInputMessage="1" showErrorMessage="1" sqref="B5" xr:uid="{2170AD5D-BB50-406A-84FB-AFA3AB654A58}">
      <formula1>"compra,merma,traspaso"</formula1>
    </dataValidation>
    <dataValidation type="list" allowBlank="1" showInputMessage="1" showErrorMessage="1" sqref="B4" xr:uid="{34F5F115-9C30-48F8-A589-F6638297B7BA}">
      <formula1>"SPINREACT,RESLAB,ERBAMEX,TECDIAGS,VEGALAB,KABLA,AUREA ,DICIPA,FG SOLUCIONES"</formula1>
    </dataValidation>
    <dataValidation type="list" allowBlank="1" showInputMessage="1" showErrorMessage="1" sqref="B3" xr:uid="{842FC0ED-55FF-4BF3-85E2-EE0AA17C6A5D}">
      <formula1>"na"</formula1>
    </dataValidation>
    <dataValidation type="list" allowBlank="1" showInputMessage="1" showErrorMessage="1" sqref="A9:A31" xr:uid="{F65EFBB0-5D6E-44E2-B49D-6FA6A32CE47F}">
      <formula1>"MEDIOS DE TRANSPORTE,TUBO ROJO,TUBO AMARILLO,TUBO LILA,TUBO AZUL,FRASCO ESTERIL,ALGODÓN,HOJAS BLANCAS,TINTA 544,CINTA ETIQUETADORA,BOLSA NEGRA CH,BOLSA NEGRA G,HOJA MEMBRETADA,AGUA EMBOTELLADA,LANZETAS,APLICADORES DE ALGODÓN,GUANTES CH,GUANTES M,GUANTES G,JERINGA 3ML AZUL,JERINGA 3ML NARANJA,JERINGA 3ML NEGRA,JERINGA 5ML ,JERINGA 10ML,CINTA PAPEL ,CUADERNO PROFESIONAL,CUADERNO CHICO,RESISTOL,MARCADORES,CINTA GRANDE TRANS,SHARPIE,LAPICERA ROJA,LAPICERA NEGRA,LAPICERA AZUL,AMILASA,ALBUMINA,TIEMPOS PROTOMBINA,BILIS T Y D,ACIDO URICO,PROTEINAS TOTALES,GLUCOSA,ANTIGENOS BACTERIANOS,TGP,TGO,UREA,CREATININA,TRIGLICERIDOS,COLESTEROL,FOSFATASA ALCALINA,LDH,FACTOR REUMATOIDE,ASO,VDRL,PCR,HDL,GGT,TPT,DULCES,PSA,T4 LIBRE,PROLACTINA,PROGESTERONA,T3,TSH,H. PYLORI,T4  ,GLUCOSA,CREATININA,NITROGENO UREICO,ACIDO URICO,TRIGLICERIDOS,COLESTEROL,HDL,CA,ES,P,GGT,AMILASA,LIPASA,FOSFATASA ALCALINA,LDH,TP ,ALBUMINA,BILIS TOTAL,BILIS DIRECTA,TGO,TGP,AGAR SANGRE,AGAR MULLER HINTON,AGAR AZUL DE METILENO,METHANFETAMINA,COCAINA,THC,PRUEBA DE EMBARAZO,TIRAS DE ORINA,DENGUE,PSA,HEPATITIS A,HEPATITIS B,HEPATITIS C,SIFILIS,MULTIDROGAS 3,INFLUENZA A Y B ,BARBITURICOS,BENZODIASEPINAS"</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guarda">
                <anchor moveWithCells="1" sizeWithCells="1">
                  <from>
                    <xdr:col>5</xdr:col>
                    <xdr:colOff>0</xdr:colOff>
                    <xdr:row>0</xdr:row>
                    <xdr:rowOff>161925</xdr:rowOff>
                  </from>
                  <to>
                    <xdr:col>6</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CDE11-185F-4677-A794-C07BE3BD8465}">
  <sheetPr codeName="pr">
    <tabColor theme="6" tint="0.39997558519241921"/>
  </sheetPr>
  <dimension ref="A1:E106"/>
  <sheetViews>
    <sheetView workbookViewId="0">
      <selection activeCell="C5" sqref="C5"/>
    </sheetView>
  </sheetViews>
  <sheetFormatPr baseColWidth="10" defaultRowHeight="15" x14ac:dyDescent="0.25"/>
  <cols>
    <col min="1" max="8" width="15.7109375" customWidth="1"/>
  </cols>
  <sheetData>
    <row r="1" spans="1:5" x14ac:dyDescent="0.25">
      <c r="A1" t="s">
        <v>19</v>
      </c>
      <c r="B1" t="s">
        <v>20</v>
      </c>
      <c r="C1" t="s">
        <v>25</v>
      </c>
      <c r="D1" t="s">
        <v>26</v>
      </c>
      <c r="E1" t="s">
        <v>27</v>
      </c>
    </row>
    <row r="2" spans="1:5" x14ac:dyDescent="0.25">
      <c r="A2" t="s">
        <v>53</v>
      </c>
      <c r="B2" t="s">
        <v>54</v>
      </c>
      <c r="C2" t="s">
        <v>55</v>
      </c>
      <c r="D2" s="1">
        <v>1</v>
      </c>
      <c r="E2">
        <f>SUMIFS(hmov[CANTIDAD],hmov[IDPRODUCTO],prod[[#This Row],[IDPROD]],hmov[INOUT],1)-SUMIFS(hmov[CANTIDAD],hmov[IDPRODUCTO],prod[[#This Row],[IDPROD]],hmov[INOUT],0)</f>
        <v>0</v>
      </c>
    </row>
    <row r="3" spans="1:5" x14ac:dyDescent="0.25">
      <c r="A3" t="s">
        <v>56</v>
      </c>
      <c r="B3" t="s">
        <v>54</v>
      </c>
      <c r="C3" t="s">
        <v>57</v>
      </c>
      <c r="D3" s="1">
        <v>2</v>
      </c>
      <c r="E3">
        <f>SUMIFS(hmov[CANTIDAD],hmov[IDPRODUCTO],prod[[#This Row],[IDPROD]],hmov[INOUT],1)-SUMIFS(hmov[CANTIDAD],hmov[IDPRODUCTO],prod[[#This Row],[IDPROD]],hmov[INOUT],0)</f>
        <v>75</v>
      </c>
    </row>
    <row r="4" spans="1:5" x14ac:dyDescent="0.25">
      <c r="A4" t="s">
        <v>58</v>
      </c>
      <c r="B4" t="s">
        <v>54</v>
      </c>
      <c r="C4" t="s">
        <v>57</v>
      </c>
      <c r="D4" s="1">
        <v>3</v>
      </c>
      <c r="E4">
        <f>SUMIFS(hmov[CANTIDAD],hmov[IDPRODUCTO],prod[[#This Row],[IDPROD]],hmov[INOUT],1)-SUMIFS(hmov[CANTIDAD],hmov[IDPRODUCTO],prod[[#This Row],[IDPROD]],hmov[INOUT],0)</f>
        <v>0</v>
      </c>
    </row>
    <row r="5" spans="1:5" x14ac:dyDescent="0.25">
      <c r="A5" t="s">
        <v>59</v>
      </c>
      <c r="B5" t="s">
        <v>54</v>
      </c>
      <c r="C5" t="s">
        <v>57</v>
      </c>
      <c r="D5" s="1">
        <v>4</v>
      </c>
      <c r="E5" s="9">
        <f>SUMIFS(hmov[CANTIDAD],hmov[IDPRODUCTO],prod[[#This Row],[IDPROD]],hmov[INOUT],1)-SUMIFS(hmov[CANTIDAD],hmov[IDPRODUCTO],prod[[#This Row],[IDPROD]],hmov[INOUT],0)</f>
        <v>0</v>
      </c>
    </row>
    <row r="6" spans="1:5" x14ac:dyDescent="0.25">
      <c r="A6" t="s">
        <v>60</v>
      </c>
      <c r="B6" t="s">
        <v>54</v>
      </c>
      <c r="C6" t="s">
        <v>57</v>
      </c>
      <c r="D6" s="1">
        <v>5</v>
      </c>
      <c r="E6" s="9">
        <f>SUMIFS(hmov[CANTIDAD],hmov[IDPRODUCTO],prod[[#This Row],[IDPROD]],hmov[INOUT],1)-SUMIFS(hmov[CANTIDAD],hmov[IDPRODUCTO],prod[[#This Row],[IDPROD]],hmov[INOUT],0)</f>
        <v>0</v>
      </c>
    </row>
    <row r="7" spans="1:5" x14ac:dyDescent="0.25">
      <c r="A7" t="s">
        <v>61</v>
      </c>
      <c r="B7" t="s">
        <v>62</v>
      </c>
      <c r="C7" t="s">
        <v>63</v>
      </c>
      <c r="D7" s="1">
        <v>6</v>
      </c>
      <c r="E7" s="9">
        <f>SUMIFS(hmov[CANTIDAD],hmov[IDPRODUCTO],prod[[#This Row],[IDPROD]],hmov[INOUT],1)-SUMIFS(hmov[CANTIDAD],hmov[IDPRODUCTO],prod[[#This Row],[IDPROD]],hmov[INOUT],0)</f>
        <v>0</v>
      </c>
    </row>
    <row r="8" spans="1:5" x14ac:dyDescent="0.25">
      <c r="A8" t="s">
        <v>64</v>
      </c>
      <c r="B8" t="s">
        <v>65</v>
      </c>
      <c r="C8" t="s">
        <v>63</v>
      </c>
      <c r="D8" s="1">
        <v>7</v>
      </c>
      <c r="E8" s="9">
        <f>SUMIFS(hmov[CANTIDAD],hmov[IDPRODUCTO],prod[[#This Row],[IDPROD]],hmov[INOUT],1)-SUMIFS(hmov[CANTIDAD],hmov[IDPRODUCTO],prod[[#This Row],[IDPROD]],hmov[INOUT],0)</f>
        <v>0</v>
      </c>
    </row>
    <row r="9" spans="1:5" x14ac:dyDescent="0.25">
      <c r="A9" t="s">
        <v>66</v>
      </c>
      <c r="B9" t="s">
        <v>54</v>
      </c>
      <c r="C9" t="s">
        <v>67</v>
      </c>
      <c r="D9" s="1">
        <v>8</v>
      </c>
      <c r="E9" s="9">
        <f>SUMIFS(hmov[CANTIDAD],hmov[IDPRODUCTO],prod[[#This Row],[IDPROD]],hmov[INOUT],1)-SUMIFS(hmov[CANTIDAD],hmov[IDPRODUCTO],prod[[#This Row],[IDPROD]],hmov[INOUT],0)</f>
        <v>0</v>
      </c>
    </row>
    <row r="10" spans="1:5" x14ac:dyDescent="0.25">
      <c r="A10" t="s">
        <v>68</v>
      </c>
      <c r="B10" t="s">
        <v>54</v>
      </c>
      <c r="C10" t="s">
        <v>67</v>
      </c>
      <c r="D10" s="1">
        <v>9</v>
      </c>
      <c r="E10" s="9">
        <f>SUMIFS(hmov[CANTIDAD],hmov[IDPRODUCTO],prod[[#This Row],[IDPROD]],hmov[INOUT],1)-SUMIFS(hmov[CANTIDAD],hmov[IDPRODUCTO],prod[[#This Row],[IDPROD]],hmov[INOUT],0)</f>
        <v>0</v>
      </c>
    </row>
    <row r="11" spans="1:5" x14ac:dyDescent="0.25">
      <c r="A11" t="s">
        <v>69</v>
      </c>
      <c r="B11" t="s">
        <v>70</v>
      </c>
      <c r="C11" t="s">
        <v>67</v>
      </c>
      <c r="D11" s="1">
        <v>10</v>
      </c>
      <c r="E11" s="9">
        <f>SUMIFS(hmov[CANTIDAD],hmov[IDPRODUCTO],prod[[#This Row],[IDPROD]],hmov[INOUT],1)-SUMIFS(hmov[CANTIDAD],hmov[IDPRODUCTO],prod[[#This Row],[IDPROD]],hmov[INOUT],0)</f>
        <v>0</v>
      </c>
    </row>
    <row r="12" spans="1:5" x14ac:dyDescent="0.25">
      <c r="A12" t="s">
        <v>71</v>
      </c>
      <c r="B12" t="s">
        <v>54</v>
      </c>
      <c r="C12" t="s">
        <v>63</v>
      </c>
      <c r="D12" s="1">
        <v>11</v>
      </c>
      <c r="E12" s="9">
        <f>SUMIFS(hmov[CANTIDAD],hmov[IDPRODUCTO],prod[[#This Row],[IDPROD]],hmov[INOUT],1)-SUMIFS(hmov[CANTIDAD],hmov[IDPRODUCTO],prod[[#This Row],[IDPROD]],hmov[INOUT],0)</f>
        <v>0</v>
      </c>
    </row>
    <row r="13" spans="1:5" x14ac:dyDescent="0.25">
      <c r="A13" t="s">
        <v>72</v>
      </c>
      <c r="B13" t="s">
        <v>54</v>
      </c>
      <c r="C13" t="s">
        <v>63</v>
      </c>
      <c r="D13" s="1">
        <v>12</v>
      </c>
      <c r="E13" s="9">
        <f>SUMIFS(hmov[CANTIDAD],hmov[IDPRODUCTO],prod[[#This Row],[IDPROD]],hmov[INOUT],1)-SUMIFS(hmov[CANTIDAD],hmov[IDPRODUCTO],prod[[#This Row],[IDPROD]],hmov[INOUT],0)</f>
        <v>0</v>
      </c>
    </row>
    <row r="14" spans="1:5" x14ac:dyDescent="0.25">
      <c r="A14" t="s">
        <v>73</v>
      </c>
      <c r="B14" t="s">
        <v>54</v>
      </c>
      <c r="C14" t="s">
        <v>67</v>
      </c>
      <c r="D14" s="1">
        <v>13</v>
      </c>
      <c r="E14" s="9">
        <f>SUMIFS(hmov[CANTIDAD],hmov[IDPRODUCTO],prod[[#This Row],[IDPROD]],hmov[INOUT],1)-SUMIFS(hmov[CANTIDAD],hmov[IDPRODUCTO],prod[[#This Row],[IDPROD]],hmov[INOUT],0)</f>
        <v>0</v>
      </c>
    </row>
    <row r="15" spans="1:5" x14ac:dyDescent="0.25">
      <c r="A15" t="s">
        <v>74</v>
      </c>
      <c r="B15" t="s">
        <v>62</v>
      </c>
      <c r="C15" t="s">
        <v>63</v>
      </c>
      <c r="D15" s="1">
        <v>14</v>
      </c>
      <c r="E15" s="9">
        <f>SUMIFS(hmov[CANTIDAD],hmov[IDPRODUCTO],prod[[#This Row],[IDPROD]],hmov[INOUT],1)-SUMIFS(hmov[CANTIDAD],hmov[IDPRODUCTO],prod[[#This Row],[IDPROD]],hmov[INOUT],0)</f>
        <v>0</v>
      </c>
    </row>
    <row r="16" spans="1:5" x14ac:dyDescent="0.25">
      <c r="A16" t="s">
        <v>75</v>
      </c>
      <c r="B16" t="s">
        <v>54</v>
      </c>
      <c r="C16" t="s">
        <v>63</v>
      </c>
      <c r="D16" s="1">
        <v>15</v>
      </c>
      <c r="E16" s="9">
        <f>SUMIFS(hmov[CANTIDAD],hmov[IDPRODUCTO],prod[[#This Row],[IDPROD]],hmov[INOUT],1)-SUMIFS(hmov[CANTIDAD],hmov[IDPRODUCTO],prod[[#This Row],[IDPROD]],hmov[INOUT],0)</f>
        <v>0</v>
      </c>
    </row>
    <row r="17" spans="1:5" x14ac:dyDescent="0.25">
      <c r="A17" t="s">
        <v>76</v>
      </c>
      <c r="B17" t="s">
        <v>54</v>
      </c>
      <c r="C17" t="s">
        <v>63</v>
      </c>
      <c r="D17" s="1">
        <v>16</v>
      </c>
      <c r="E17" s="9">
        <f>SUMIFS(hmov[CANTIDAD],hmov[IDPRODUCTO],prod[[#This Row],[IDPROD]],hmov[INOUT],1)-SUMIFS(hmov[CANTIDAD],hmov[IDPRODUCTO],prod[[#This Row],[IDPROD]],hmov[INOUT],0)</f>
        <v>0</v>
      </c>
    </row>
    <row r="18" spans="1:5" x14ac:dyDescent="0.25">
      <c r="A18" t="s">
        <v>77</v>
      </c>
      <c r="B18" t="s">
        <v>54</v>
      </c>
      <c r="C18" t="s">
        <v>63</v>
      </c>
      <c r="D18" s="1">
        <v>17</v>
      </c>
      <c r="E18" s="9">
        <f>SUMIFS(hmov[CANTIDAD],hmov[IDPRODUCTO],prod[[#This Row],[IDPROD]],hmov[INOUT],1)-SUMIFS(hmov[CANTIDAD],hmov[IDPRODUCTO],prod[[#This Row],[IDPROD]],hmov[INOUT],0)</f>
        <v>0</v>
      </c>
    </row>
    <row r="19" spans="1:5" x14ac:dyDescent="0.25">
      <c r="A19" t="s">
        <v>78</v>
      </c>
      <c r="B19" t="s">
        <v>54</v>
      </c>
      <c r="C19" t="s">
        <v>63</v>
      </c>
      <c r="D19" s="1">
        <v>18</v>
      </c>
      <c r="E19" s="9">
        <f>SUMIFS(hmov[CANTIDAD],hmov[IDPRODUCTO],prod[[#This Row],[IDPROD]],hmov[INOUT],1)-SUMIFS(hmov[CANTIDAD],hmov[IDPRODUCTO],prod[[#This Row],[IDPROD]],hmov[INOUT],0)</f>
        <v>0</v>
      </c>
    </row>
    <row r="20" spans="1:5" x14ac:dyDescent="0.25">
      <c r="A20" t="s">
        <v>79</v>
      </c>
      <c r="B20" t="s">
        <v>54</v>
      </c>
      <c r="C20" t="s">
        <v>63</v>
      </c>
      <c r="D20" s="1">
        <v>19</v>
      </c>
      <c r="E20" s="9">
        <f>SUMIFS(hmov[CANTIDAD],hmov[IDPRODUCTO],prod[[#This Row],[IDPROD]],hmov[INOUT],1)-SUMIFS(hmov[CANTIDAD],hmov[IDPRODUCTO],prod[[#This Row],[IDPROD]],hmov[INOUT],0)</f>
        <v>0</v>
      </c>
    </row>
    <row r="21" spans="1:5" x14ac:dyDescent="0.25">
      <c r="A21" t="s">
        <v>80</v>
      </c>
      <c r="B21" t="s">
        <v>81</v>
      </c>
      <c r="C21" t="s">
        <v>82</v>
      </c>
      <c r="D21" s="1">
        <v>20</v>
      </c>
      <c r="E21" s="9">
        <f>SUMIFS(hmov[CANTIDAD],hmov[IDPRODUCTO],prod[[#This Row],[IDPROD]],hmov[INOUT],1)-SUMIFS(hmov[CANTIDAD],hmov[IDPRODUCTO],prod[[#This Row],[IDPROD]],hmov[INOUT],0)</f>
        <v>0</v>
      </c>
    </row>
    <row r="22" spans="1:5" x14ac:dyDescent="0.25">
      <c r="A22" t="s">
        <v>83</v>
      </c>
      <c r="B22" t="s">
        <v>81</v>
      </c>
      <c r="C22" t="s">
        <v>82</v>
      </c>
      <c r="D22" s="1">
        <v>21</v>
      </c>
      <c r="E22" s="9">
        <f>SUMIFS(hmov[CANTIDAD],hmov[IDPRODUCTO],prod[[#This Row],[IDPROD]],hmov[INOUT],1)-SUMIFS(hmov[CANTIDAD],hmov[IDPRODUCTO],prod[[#This Row],[IDPROD]],hmov[INOUT],0)</f>
        <v>0</v>
      </c>
    </row>
    <row r="23" spans="1:5" x14ac:dyDescent="0.25">
      <c r="A23" t="s">
        <v>84</v>
      </c>
      <c r="B23" t="s">
        <v>81</v>
      </c>
      <c r="C23" t="s">
        <v>82</v>
      </c>
      <c r="D23" s="1">
        <v>22</v>
      </c>
      <c r="E23" s="9">
        <f>SUMIFS(hmov[CANTIDAD],hmov[IDPRODUCTO],prod[[#This Row],[IDPROD]],hmov[INOUT],1)-SUMIFS(hmov[CANTIDAD],hmov[IDPRODUCTO],prod[[#This Row],[IDPROD]],hmov[INOUT],0)</f>
        <v>0</v>
      </c>
    </row>
    <row r="24" spans="1:5" x14ac:dyDescent="0.25">
      <c r="A24" t="s">
        <v>85</v>
      </c>
      <c r="B24" t="s">
        <v>81</v>
      </c>
      <c r="C24" t="s">
        <v>82</v>
      </c>
      <c r="D24" s="1">
        <v>23</v>
      </c>
      <c r="E24" s="9">
        <f>SUMIFS(hmov[CANTIDAD],hmov[IDPRODUCTO],prod[[#This Row],[IDPROD]],hmov[INOUT],1)-SUMIFS(hmov[CANTIDAD],hmov[IDPRODUCTO],prod[[#This Row],[IDPROD]],hmov[INOUT],0)</f>
        <v>0</v>
      </c>
    </row>
    <row r="25" spans="1:5" x14ac:dyDescent="0.25">
      <c r="A25" t="s">
        <v>86</v>
      </c>
      <c r="B25" t="s">
        <v>81</v>
      </c>
      <c r="C25" t="s">
        <v>82</v>
      </c>
      <c r="D25" s="1">
        <v>24</v>
      </c>
      <c r="E25" s="9">
        <f>SUMIFS(hmov[CANTIDAD],hmov[IDPRODUCTO],prod[[#This Row],[IDPROD]],hmov[INOUT],1)-SUMIFS(hmov[CANTIDAD],hmov[IDPRODUCTO],prod[[#This Row],[IDPROD]],hmov[INOUT],0)</f>
        <v>0</v>
      </c>
    </row>
    <row r="26" spans="1:5" x14ac:dyDescent="0.25">
      <c r="A26" t="s">
        <v>87</v>
      </c>
      <c r="B26" t="s">
        <v>70</v>
      </c>
      <c r="C26" t="s">
        <v>67</v>
      </c>
      <c r="D26" s="1">
        <v>25</v>
      </c>
      <c r="E26" s="9">
        <f>SUMIFS(hmov[CANTIDAD],hmov[IDPRODUCTO],prod[[#This Row],[IDPROD]],hmov[INOUT],1)-SUMIFS(hmov[CANTIDAD],hmov[IDPRODUCTO],prod[[#This Row],[IDPROD]],hmov[INOUT],0)</f>
        <v>0</v>
      </c>
    </row>
    <row r="27" spans="1:5" x14ac:dyDescent="0.25">
      <c r="A27" t="s">
        <v>88</v>
      </c>
      <c r="B27" t="s">
        <v>62</v>
      </c>
      <c r="C27" t="s">
        <v>67</v>
      </c>
      <c r="D27" s="1">
        <v>26</v>
      </c>
      <c r="E27" s="9">
        <f>SUMIFS(hmov[CANTIDAD],hmov[IDPRODUCTO],prod[[#This Row],[IDPROD]],hmov[INOUT],1)-SUMIFS(hmov[CANTIDAD],hmov[IDPRODUCTO],prod[[#This Row],[IDPROD]],hmov[INOUT],0)</f>
        <v>0</v>
      </c>
    </row>
    <row r="28" spans="1:5" x14ac:dyDescent="0.25">
      <c r="A28" t="s">
        <v>89</v>
      </c>
      <c r="B28" t="s">
        <v>62</v>
      </c>
      <c r="C28" t="s">
        <v>67</v>
      </c>
      <c r="D28" s="1">
        <v>27</v>
      </c>
      <c r="E28" s="9">
        <f>SUMIFS(hmov[CANTIDAD],hmov[IDPRODUCTO],prod[[#This Row],[IDPROD]],hmov[INOUT],1)-SUMIFS(hmov[CANTIDAD],hmov[IDPRODUCTO],prod[[#This Row],[IDPROD]],hmov[INOUT],0)</f>
        <v>0</v>
      </c>
    </row>
    <row r="29" spans="1:5" x14ac:dyDescent="0.25">
      <c r="A29" t="s">
        <v>90</v>
      </c>
      <c r="B29" t="s">
        <v>62</v>
      </c>
      <c r="C29" t="s">
        <v>67</v>
      </c>
      <c r="D29" s="1">
        <v>28</v>
      </c>
      <c r="E29" s="9">
        <f>SUMIFS(hmov[CANTIDAD],hmov[IDPRODUCTO],prod[[#This Row],[IDPROD]],hmov[INOUT],1)-SUMIFS(hmov[CANTIDAD],hmov[IDPRODUCTO],prod[[#This Row],[IDPROD]],hmov[INOUT],0)</f>
        <v>0</v>
      </c>
    </row>
    <row r="30" spans="1:5" x14ac:dyDescent="0.25">
      <c r="A30" t="s">
        <v>91</v>
      </c>
      <c r="B30" t="s">
        <v>62</v>
      </c>
      <c r="C30" t="s">
        <v>67</v>
      </c>
      <c r="D30" s="1">
        <v>29</v>
      </c>
      <c r="E30" s="9">
        <f>SUMIFS(hmov[CANTIDAD],hmov[IDPRODUCTO],prod[[#This Row],[IDPROD]],hmov[INOUT],1)-SUMIFS(hmov[CANTIDAD],hmov[IDPRODUCTO],prod[[#This Row],[IDPROD]],hmov[INOUT],0)</f>
        <v>0</v>
      </c>
    </row>
    <row r="31" spans="1:5" x14ac:dyDescent="0.25">
      <c r="A31" t="s">
        <v>92</v>
      </c>
      <c r="B31" t="s">
        <v>70</v>
      </c>
      <c r="C31" t="s">
        <v>67</v>
      </c>
      <c r="D31" s="1">
        <v>30</v>
      </c>
      <c r="E31" s="9">
        <f>SUMIFS(hmov[CANTIDAD],hmov[IDPRODUCTO],prod[[#This Row],[IDPROD]],hmov[INOUT],1)-SUMIFS(hmov[CANTIDAD],hmov[IDPRODUCTO],prod[[#This Row],[IDPROD]],hmov[INOUT],0)</f>
        <v>0</v>
      </c>
    </row>
    <row r="32" spans="1:5" x14ac:dyDescent="0.25">
      <c r="A32" t="s">
        <v>93</v>
      </c>
      <c r="B32" t="s">
        <v>62</v>
      </c>
      <c r="C32" t="s">
        <v>67</v>
      </c>
      <c r="D32" s="1">
        <v>31</v>
      </c>
      <c r="E32" s="9">
        <f>SUMIFS(hmov[CANTIDAD],hmov[IDPRODUCTO],prod[[#This Row],[IDPROD]],hmov[INOUT],1)-SUMIFS(hmov[CANTIDAD],hmov[IDPRODUCTO],prod[[#This Row],[IDPROD]],hmov[INOUT],0)</f>
        <v>0</v>
      </c>
    </row>
    <row r="33" spans="1:5" x14ac:dyDescent="0.25">
      <c r="A33" t="s">
        <v>94</v>
      </c>
      <c r="B33" t="s">
        <v>54</v>
      </c>
      <c r="C33" t="s">
        <v>67</v>
      </c>
      <c r="D33" s="1">
        <v>32</v>
      </c>
      <c r="E33" s="9">
        <f>SUMIFS(hmov[CANTIDAD],hmov[IDPRODUCTO],prod[[#This Row],[IDPROD]],hmov[INOUT],1)-SUMIFS(hmov[CANTIDAD],hmov[IDPRODUCTO],prod[[#This Row],[IDPROD]],hmov[INOUT],0)</f>
        <v>0</v>
      </c>
    </row>
    <row r="34" spans="1:5" x14ac:dyDescent="0.25">
      <c r="A34" t="s">
        <v>95</v>
      </c>
      <c r="B34" t="s">
        <v>54</v>
      </c>
      <c r="C34" t="s">
        <v>67</v>
      </c>
      <c r="D34" s="1">
        <v>33</v>
      </c>
      <c r="E34" s="9">
        <f>SUMIFS(hmov[CANTIDAD],hmov[IDPRODUCTO],prod[[#This Row],[IDPROD]],hmov[INOUT],1)-SUMIFS(hmov[CANTIDAD],hmov[IDPRODUCTO],prod[[#This Row],[IDPROD]],hmov[INOUT],0)</f>
        <v>0</v>
      </c>
    </row>
    <row r="35" spans="1:5" x14ac:dyDescent="0.25">
      <c r="A35" t="s">
        <v>96</v>
      </c>
      <c r="B35" t="s">
        <v>54</v>
      </c>
      <c r="C35" t="s">
        <v>67</v>
      </c>
      <c r="D35" s="1">
        <v>34</v>
      </c>
      <c r="E35" s="9">
        <f>SUMIFS(hmov[CANTIDAD],hmov[IDPRODUCTO],prod[[#This Row],[IDPROD]],hmov[INOUT],1)-SUMIFS(hmov[CANTIDAD],hmov[IDPRODUCTO],prod[[#This Row],[IDPROD]],hmov[INOUT],0)</f>
        <v>0</v>
      </c>
    </row>
    <row r="36" spans="1:5" x14ac:dyDescent="0.25">
      <c r="A36" t="s">
        <v>97</v>
      </c>
      <c r="B36" t="s">
        <v>81</v>
      </c>
      <c r="C36" t="s">
        <v>98</v>
      </c>
      <c r="D36" s="1">
        <v>35</v>
      </c>
      <c r="E36" s="9">
        <f>SUMIFS(hmov[CANTIDAD],hmov[IDPRODUCTO],prod[[#This Row],[IDPROD]],hmov[INOUT],1)-SUMIFS(hmov[CANTIDAD],hmov[IDPRODUCTO],prod[[#This Row],[IDPROD]],hmov[INOUT],0)</f>
        <v>0</v>
      </c>
    </row>
    <row r="37" spans="1:5" x14ac:dyDescent="0.25">
      <c r="A37" t="s">
        <v>99</v>
      </c>
      <c r="B37" t="s">
        <v>81</v>
      </c>
      <c r="C37" t="s">
        <v>98</v>
      </c>
      <c r="D37" s="1">
        <v>36</v>
      </c>
      <c r="E37" s="9">
        <f>SUMIFS(hmov[CANTIDAD],hmov[IDPRODUCTO],prod[[#This Row],[IDPROD]],hmov[INOUT],1)-SUMIFS(hmov[CANTIDAD],hmov[IDPRODUCTO],prod[[#This Row],[IDPROD]],hmov[INOUT],0)</f>
        <v>0</v>
      </c>
    </row>
    <row r="38" spans="1:5" x14ac:dyDescent="0.25">
      <c r="A38" t="s">
        <v>100</v>
      </c>
      <c r="B38" t="s">
        <v>81</v>
      </c>
      <c r="C38" t="s">
        <v>98</v>
      </c>
      <c r="D38" s="1">
        <v>37</v>
      </c>
      <c r="E38" s="9">
        <f>SUMIFS(hmov[CANTIDAD],hmov[IDPRODUCTO],prod[[#This Row],[IDPROD]],hmov[INOUT],1)-SUMIFS(hmov[CANTIDAD],hmov[IDPRODUCTO],prod[[#This Row],[IDPROD]],hmov[INOUT],0)</f>
        <v>0</v>
      </c>
    </row>
    <row r="39" spans="1:5" x14ac:dyDescent="0.25">
      <c r="A39" t="s">
        <v>101</v>
      </c>
      <c r="B39" t="s">
        <v>81</v>
      </c>
      <c r="C39" t="s">
        <v>98</v>
      </c>
      <c r="D39" s="1">
        <v>38</v>
      </c>
      <c r="E39" s="9">
        <f>SUMIFS(hmov[CANTIDAD],hmov[IDPRODUCTO],prod[[#This Row],[IDPROD]],hmov[INOUT],1)-SUMIFS(hmov[CANTIDAD],hmov[IDPRODUCTO],prod[[#This Row],[IDPROD]],hmov[INOUT],0)</f>
        <v>0</v>
      </c>
    </row>
    <row r="40" spans="1:5" x14ac:dyDescent="0.25">
      <c r="A40" t="s">
        <v>102</v>
      </c>
      <c r="B40" t="s">
        <v>81</v>
      </c>
      <c r="C40" t="s">
        <v>98</v>
      </c>
      <c r="D40" s="1">
        <v>39</v>
      </c>
      <c r="E40" s="9">
        <f>SUMIFS(hmov[CANTIDAD],hmov[IDPRODUCTO],prod[[#This Row],[IDPROD]],hmov[INOUT],1)-SUMIFS(hmov[CANTIDAD],hmov[IDPRODUCTO],prod[[#This Row],[IDPROD]],hmov[INOUT],0)</f>
        <v>0</v>
      </c>
    </row>
    <row r="41" spans="1:5" x14ac:dyDescent="0.25">
      <c r="A41" t="s">
        <v>103</v>
      </c>
      <c r="B41" t="s">
        <v>81</v>
      </c>
      <c r="C41" t="s">
        <v>98</v>
      </c>
      <c r="D41" s="1">
        <v>40</v>
      </c>
      <c r="E41" s="9">
        <f>SUMIFS(hmov[CANTIDAD],hmov[IDPRODUCTO],prod[[#This Row],[IDPROD]],hmov[INOUT],1)-SUMIFS(hmov[CANTIDAD],hmov[IDPRODUCTO],prod[[#This Row],[IDPROD]],hmov[INOUT],0)</f>
        <v>0</v>
      </c>
    </row>
    <row r="42" spans="1:5" x14ac:dyDescent="0.25">
      <c r="A42" t="s">
        <v>104</v>
      </c>
      <c r="B42" t="s">
        <v>81</v>
      </c>
      <c r="C42" t="s">
        <v>98</v>
      </c>
      <c r="D42" s="1">
        <v>41</v>
      </c>
      <c r="E42" s="9">
        <f>SUMIFS(hmov[CANTIDAD],hmov[IDPRODUCTO],prod[[#This Row],[IDPROD]],hmov[INOUT],1)-SUMIFS(hmov[CANTIDAD],hmov[IDPRODUCTO],prod[[#This Row],[IDPROD]],hmov[INOUT],0)</f>
        <v>0</v>
      </c>
    </row>
    <row r="43" spans="1:5" x14ac:dyDescent="0.25">
      <c r="A43" t="s">
        <v>105</v>
      </c>
      <c r="B43" t="s">
        <v>81</v>
      </c>
      <c r="C43" t="s">
        <v>98</v>
      </c>
      <c r="D43" s="1">
        <v>42</v>
      </c>
      <c r="E43" s="9">
        <f>SUMIFS(hmov[CANTIDAD],hmov[IDPRODUCTO],prod[[#This Row],[IDPROD]],hmov[INOUT],1)-SUMIFS(hmov[CANTIDAD],hmov[IDPRODUCTO],prod[[#This Row],[IDPROD]],hmov[INOUT],0)</f>
        <v>0</v>
      </c>
    </row>
    <row r="44" spans="1:5" x14ac:dyDescent="0.25">
      <c r="A44" t="s">
        <v>106</v>
      </c>
      <c r="B44" t="s">
        <v>81</v>
      </c>
      <c r="C44" t="s">
        <v>98</v>
      </c>
      <c r="D44" s="1">
        <v>43</v>
      </c>
      <c r="E44" s="9">
        <f>SUMIFS(hmov[CANTIDAD],hmov[IDPRODUCTO],prod[[#This Row],[IDPROD]],hmov[INOUT],1)-SUMIFS(hmov[CANTIDAD],hmov[IDPRODUCTO],prod[[#This Row],[IDPROD]],hmov[INOUT],0)</f>
        <v>0</v>
      </c>
    </row>
    <row r="45" spans="1:5" x14ac:dyDescent="0.25">
      <c r="A45" t="s">
        <v>107</v>
      </c>
      <c r="B45" t="s">
        <v>81</v>
      </c>
      <c r="C45" t="s">
        <v>98</v>
      </c>
      <c r="D45" s="1">
        <v>44</v>
      </c>
      <c r="E45" s="9">
        <f>SUMIFS(hmov[CANTIDAD],hmov[IDPRODUCTO],prod[[#This Row],[IDPROD]],hmov[INOUT],1)-SUMIFS(hmov[CANTIDAD],hmov[IDPRODUCTO],prod[[#This Row],[IDPROD]],hmov[INOUT],0)</f>
        <v>0</v>
      </c>
    </row>
    <row r="46" spans="1:5" x14ac:dyDescent="0.25">
      <c r="A46" t="s">
        <v>108</v>
      </c>
      <c r="B46" t="s">
        <v>81</v>
      </c>
      <c r="C46" t="s">
        <v>98</v>
      </c>
      <c r="D46" s="1">
        <v>45</v>
      </c>
      <c r="E46" s="9">
        <f>SUMIFS(hmov[CANTIDAD],hmov[IDPRODUCTO],prod[[#This Row],[IDPROD]],hmov[INOUT],1)-SUMIFS(hmov[CANTIDAD],hmov[IDPRODUCTO],prod[[#This Row],[IDPROD]],hmov[INOUT],0)</f>
        <v>0</v>
      </c>
    </row>
    <row r="47" spans="1:5" x14ac:dyDescent="0.25">
      <c r="A47" t="s">
        <v>109</v>
      </c>
      <c r="B47" t="s">
        <v>81</v>
      </c>
      <c r="C47" t="s">
        <v>98</v>
      </c>
      <c r="D47" s="1">
        <v>46</v>
      </c>
      <c r="E47" s="9">
        <f>SUMIFS(hmov[CANTIDAD],hmov[IDPRODUCTO],prod[[#This Row],[IDPROD]],hmov[INOUT],1)-SUMIFS(hmov[CANTIDAD],hmov[IDPRODUCTO],prod[[#This Row],[IDPROD]],hmov[INOUT],0)</f>
        <v>0</v>
      </c>
    </row>
    <row r="48" spans="1:5" x14ac:dyDescent="0.25">
      <c r="A48" t="s">
        <v>110</v>
      </c>
      <c r="B48" t="s">
        <v>81</v>
      </c>
      <c r="C48" t="s">
        <v>98</v>
      </c>
      <c r="D48" s="1">
        <v>47</v>
      </c>
      <c r="E48" s="9">
        <f>SUMIFS(hmov[CANTIDAD],hmov[IDPRODUCTO],prod[[#This Row],[IDPROD]],hmov[INOUT],1)-SUMIFS(hmov[CANTIDAD],hmov[IDPRODUCTO],prod[[#This Row],[IDPROD]],hmov[INOUT],0)</f>
        <v>0</v>
      </c>
    </row>
    <row r="49" spans="1:5" x14ac:dyDescent="0.25">
      <c r="A49" t="s">
        <v>111</v>
      </c>
      <c r="B49" t="s">
        <v>81</v>
      </c>
      <c r="C49" t="s">
        <v>98</v>
      </c>
      <c r="D49" s="1">
        <v>48</v>
      </c>
      <c r="E49" s="9">
        <f>SUMIFS(hmov[CANTIDAD],hmov[IDPRODUCTO],prod[[#This Row],[IDPROD]],hmov[INOUT],1)-SUMIFS(hmov[CANTIDAD],hmov[IDPRODUCTO],prod[[#This Row],[IDPROD]],hmov[INOUT],0)</f>
        <v>0</v>
      </c>
    </row>
    <row r="50" spans="1:5" x14ac:dyDescent="0.25">
      <c r="A50" t="s">
        <v>112</v>
      </c>
      <c r="B50" t="s">
        <v>81</v>
      </c>
      <c r="C50" t="s">
        <v>98</v>
      </c>
      <c r="D50" s="1">
        <v>49</v>
      </c>
      <c r="E50" s="9">
        <f>SUMIFS(hmov[CANTIDAD],hmov[IDPRODUCTO],prod[[#This Row],[IDPROD]],hmov[INOUT],1)-SUMIFS(hmov[CANTIDAD],hmov[IDPRODUCTO],prod[[#This Row],[IDPROD]],hmov[INOUT],0)</f>
        <v>0</v>
      </c>
    </row>
    <row r="51" spans="1:5" x14ac:dyDescent="0.25">
      <c r="A51" t="s">
        <v>113</v>
      </c>
      <c r="B51" t="s">
        <v>81</v>
      </c>
      <c r="C51" t="s">
        <v>98</v>
      </c>
      <c r="D51" s="1">
        <v>50</v>
      </c>
      <c r="E51" s="9">
        <f>SUMIFS(hmov[CANTIDAD],hmov[IDPRODUCTO],prod[[#This Row],[IDPROD]],hmov[INOUT],1)-SUMIFS(hmov[CANTIDAD],hmov[IDPRODUCTO],prod[[#This Row],[IDPROD]],hmov[INOUT],0)</f>
        <v>0</v>
      </c>
    </row>
    <row r="52" spans="1:5" x14ac:dyDescent="0.25">
      <c r="A52" t="s">
        <v>114</v>
      </c>
      <c r="B52" t="s">
        <v>81</v>
      </c>
      <c r="C52" t="s">
        <v>98</v>
      </c>
      <c r="D52" s="1">
        <v>51</v>
      </c>
      <c r="E52" s="9">
        <f>SUMIFS(hmov[CANTIDAD],hmov[IDPRODUCTO],prod[[#This Row],[IDPROD]],hmov[INOUT],1)-SUMIFS(hmov[CANTIDAD],hmov[IDPRODUCTO],prod[[#This Row],[IDPROD]],hmov[INOUT],0)</f>
        <v>0</v>
      </c>
    </row>
    <row r="53" spans="1:5" x14ac:dyDescent="0.25">
      <c r="A53" t="s">
        <v>115</v>
      </c>
      <c r="B53" t="s">
        <v>81</v>
      </c>
      <c r="C53" t="s">
        <v>98</v>
      </c>
      <c r="D53" s="1">
        <v>52</v>
      </c>
      <c r="E53" s="9">
        <f>SUMIFS(hmov[CANTIDAD],hmov[IDPRODUCTO],prod[[#This Row],[IDPROD]],hmov[INOUT],1)-SUMIFS(hmov[CANTIDAD],hmov[IDPRODUCTO],prod[[#This Row],[IDPROD]],hmov[INOUT],0)</f>
        <v>0</v>
      </c>
    </row>
    <row r="54" spans="1:5" x14ac:dyDescent="0.25">
      <c r="A54" t="s">
        <v>116</v>
      </c>
      <c r="B54" t="s">
        <v>81</v>
      </c>
      <c r="C54" t="s">
        <v>98</v>
      </c>
      <c r="D54" s="1">
        <v>53</v>
      </c>
      <c r="E54" s="9">
        <f>SUMIFS(hmov[CANTIDAD],hmov[IDPRODUCTO],prod[[#This Row],[IDPROD]],hmov[INOUT],1)-SUMIFS(hmov[CANTIDAD],hmov[IDPRODUCTO],prod[[#This Row],[IDPROD]],hmov[INOUT],0)</f>
        <v>0</v>
      </c>
    </row>
    <row r="55" spans="1:5" x14ac:dyDescent="0.25">
      <c r="A55" t="s">
        <v>117</v>
      </c>
      <c r="B55" t="s">
        <v>81</v>
      </c>
      <c r="C55" t="s">
        <v>98</v>
      </c>
      <c r="D55" s="1">
        <v>54</v>
      </c>
      <c r="E55" s="9">
        <f>SUMIFS(hmov[CANTIDAD],hmov[IDPRODUCTO],prod[[#This Row],[IDPROD]],hmov[INOUT],1)-SUMIFS(hmov[CANTIDAD],hmov[IDPRODUCTO],prod[[#This Row],[IDPROD]],hmov[INOUT],0)</f>
        <v>0</v>
      </c>
    </row>
    <row r="56" spans="1:5" x14ac:dyDescent="0.25">
      <c r="A56" t="s">
        <v>118</v>
      </c>
      <c r="B56" t="s">
        <v>81</v>
      </c>
      <c r="C56" t="s">
        <v>98</v>
      </c>
      <c r="D56" s="1">
        <v>55</v>
      </c>
      <c r="E56" s="9">
        <f>SUMIFS(hmov[CANTIDAD],hmov[IDPRODUCTO],prod[[#This Row],[IDPROD]],hmov[INOUT],1)-SUMIFS(hmov[CANTIDAD],hmov[IDPRODUCTO],prod[[#This Row],[IDPROD]],hmov[INOUT],0)</f>
        <v>0</v>
      </c>
    </row>
    <row r="57" spans="1:5" x14ac:dyDescent="0.25">
      <c r="A57" t="s">
        <v>119</v>
      </c>
      <c r="B57" t="s">
        <v>81</v>
      </c>
      <c r="C57" t="s">
        <v>98</v>
      </c>
      <c r="D57" s="1">
        <v>56</v>
      </c>
      <c r="E57" s="9">
        <f>SUMIFS(hmov[CANTIDAD],hmov[IDPRODUCTO],prod[[#This Row],[IDPROD]],hmov[INOUT],1)-SUMIFS(hmov[CANTIDAD],hmov[IDPRODUCTO],prod[[#This Row],[IDPROD]],hmov[INOUT],0)</f>
        <v>0</v>
      </c>
    </row>
    <row r="58" spans="1:5" x14ac:dyDescent="0.25">
      <c r="A58" t="s">
        <v>120</v>
      </c>
      <c r="B58" t="s">
        <v>81</v>
      </c>
      <c r="C58" t="s">
        <v>98</v>
      </c>
      <c r="D58" s="1">
        <v>57</v>
      </c>
      <c r="E58" s="9">
        <f>SUMIFS(hmov[CANTIDAD],hmov[IDPRODUCTO],prod[[#This Row],[IDPROD]],hmov[INOUT],1)-SUMIFS(hmov[CANTIDAD],hmov[IDPRODUCTO],prod[[#This Row],[IDPROD]],hmov[INOUT],0)</f>
        <v>0</v>
      </c>
    </row>
    <row r="59" spans="1:5" x14ac:dyDescent="0.25">
      <c r="A59" t="s">
        <v>121</v>
      </c>
      <c r="B59" t="s">
        <v>65</v>
      </c>
      <c r="C59" t="s">
        <v>63</v>
      </c>
      <c r="D59" s="1">
        <v>58</v>
      </c>
      <c r="E59" s="9">
        <f>SUMIFS(hmov[CANTIDAD],hmov[IDPRODUCTO],prod[[#This Row],[IDPROD]],hmov[INOUT],1)-SUMIFS(hmov[CANTIDAD],hmov[IDPRODUCTO],prod[[#This Row],[IDPROD]],hmov[INOUT],0)</f>
        <v>0</v>
      </c>
    </row>
    <row r="60" spans="1:5" x14ac:dyDescent="0.25">
      <c r="A60" t="s">
        <v>122</v>
      </c>
      <c r="B60" t="s">
        <v>81</v>
      </c>
      <c r="C60" t="s">
        <v>123</v>
      </c>
      <c r="D60" s="1">
        <v>59</v>
      </c>
      <c r="E60" s="9">
        <f>SUMIFS(hmov[CANTIDAD],hmov[IDPRODUCTO],prod[[#This Row],[IDPROD]],hmov[INOUT],1)-SUMIFS(hmov[CANTIDAD],hmov[IDPRODUCTO],prod[[#This Row],[IDPROD]],hmov[INOUT],0)</f>
        <v>0</v>
      </c>
    </row>
    <row r="61" spans="1:5" x14ac:dyDescent="0.25">
      <c r="A61" t="s">
        <v>124</v>
      </c>
      <c r="B61" t="s">
        <v>81</v>
      </c>
      <c r="C61" t="s">
        <v>123</v>
      </c>
      <c r="D61" s="1">
        <v>60</v>
      </c>
      <c r="E61" s="9">
        <f>SUMIFS(hmov[CANTIDAD],hmov[IDPRODUCTO],prod[[#This Row],[IDPROD]],hmov[INOUT],1)-SUMIFS(hmov[CANTIDAD],hmov[IDPRODUCTO],prod[[#This Row],[IDPROD]],hmov[INOUT],0)</f>
        <v>0</v>
      </c>
    </row>
    <row r="62" spans="1:5" x14ac:dyDescent="0.25">
      <c r="A62" t="s">
        <v>125</v>
      </c>
      <c r="B62" t="s">
        <v>81</v>
      </c>
      <c r="C62" t="s">
        <v>123</v>
      </c>
      <c r="D62" s="1">
        <v>61</v>
      </c>
      <c r="E62" s="9">
        <f>SUMIFS(hmov[CANTIDAD],hmov[IDPRODUCTO],prod[[#This Row],[IDPROD]],hmov[INOUT],1)-SUMIFS(hmov[CANTIDAD],hmov[IDPRODUCTO],prod[[#This Row],[IDPROD]],hmov[INOUT],0)</f>
        <v>0</v>
      </c>
    </row>
    <row r="63" spans="1:5" x14ac:dyDescent="0.25">
      <c r="A63" t="s">
        <v>126</v>
      </c>
      <c r="B63" t="s">
        <v>81</v>
      </c>
      <c r="C63" t="s">
        <v>123</v>
      </c>
      <c r="D63" s="1">
        <v>62</v>
      </c>
      <c r="E63" s="9">
        <f>SUMIFS(hmov[CANTIDAD],hmov[IDPRODUCTO],prod[[#This Row],[IDPROD]],hmov[INOUT],1)-SUMIFS(hmov[CANTIDAD],hmov[IDPRODUCTO],prod[[#This Row],[IDPROD]],hmov[INOUT],0)</f>
        <v>0</v>
      </c>
    </row>
    <row r="64" spans="1:5" x14ac:dyDescent="0.25">
      <c r="A64" t="s">
        <v>127</v>
      </c>
      <c r="B64" t="s">
        <v>81</v>
      </c>
      <c r="C64" t="s">
        <v>123</v>
      </c>
      <c r="D64" s="1">
        <v>63</v>
      </c>
      <c r="E64" s="9">
        <f>SUMIFS(hmov[CANTIDAD],hmov[IDPRODUCTO],prod[[#This Row],[IDPROD]],hmov[INOUT],1)-SUMIFS(hmov[CANTIDAD],hmov[IDPRODUCTO],prod[[#This Row],[IDPROD]],hmov[INOUT],0)</f>
        <v>0</v>
      </c>
    </row>
    <row r="65" spans="1:5" x14ac:dyDescent="0.25">
      <c r="A65" t="s">
        <v>128</v>
      </c>
      <c r="B65" t="s">
        <v>81</v>
      </c>
      <c r="C65" t="s">
        <v>123</v>
      </c>
      <c r="D65" s="1">
        <v>64</v>
      </c>
      <c r="E65" s="9">
        <f>SUMIFS(hmov[CANTIDAD],hmov[IDPRODUCTO],prod[[#This Row],[IDPROD]],hmov[INOUT],1)-SUMIFS(hmov[CANTIDAD],hmov[IDPRODUCTO],prod[[#This Row],[IDPROD]],hmov[INOUT],0)</f>
        <v>0</v>
      </c>
    </row>
    <row r="66" spans="1:5" x14ac:dyDescent="0.25">
      <c r="A66" t="s">
        <v>129</v>
      </c>
      <c r="B66" t="s">
        <v>81</v>
      </c>
      <c r="C66" t="s">
        <v>123</v>
      </c>
      <c r="D66" s="1">
        <v>65</v>
      </c>
      <c r="E66" s="9">
        <f>SUMIFS(hmov[CANTIDAD],hmov[IDPRODUCTO],prod[[#This Row],[IDPROD]],hmov[INOUT],1)-SUMIFS(hmov[CANTIDAD],hmov[IDPRODUCTO],prod[[#This Row],[IDPROD]],hmov[INOUT],0)</f>
        <v>0</v>
      </c>
    </row>
    <row r="67" spans="1:5" x14ac:dyDescent="0.25">
      <c r="A67" t="s">
        <v>130</v>
      </c>
      <c r="B67" t="s">
        <v>81</v>
      </c>
      <c r="C67" t="s">
        <v>123</v>
      </c>
      <c r="D67" s="1">
        <v>66</v>
      </c>
      <c r="E67" s="9">
        <f>SUMIFS(hmov[CANTIDAD],hmov[IDPRODUCTO],prod[[#This Row],[IDPROD]],hmov[INOUT],1)-SUMIFS(hmov[CANTIDAD],hmov[IDPRODUCTO],prod[[#This Row],[IDPROD]],hmov[INOUT],0)</f>
        <v>0</v>
      </c>
    </row>
    <row r="68" spans="1:5" x14ac:dyDescent="0.25">
      <c r="A68" t="s">
        <v>104</v>
      </c>
      <c r="B68" t="s">
        <v>81</v>
      </c>
      <c r="C68" t="s">
        <v>131</v>
      </c>
      <c r="D68" s="1">
        <v>67</v>
      </c>
      <c r="E68" s="9">
        <f>SUMIFS(hmov[CANTIDAD],hmov[IDPRODUCTO],prod[[#This Row],[IDPROD]],hmov[INOUT],1)-SUMIFS(hmov[CANTIDAD],hmov[IDPRODUCTO],prod[[#This Row],[IDPROD]],hmov[INOUT],0)</f>
        <v>0</v>
      </c>
    </row>
    <row r="69" spans="1:5" x14ac:dyDescent="0.25">
      <c r="A69" t="s">
        <v>109</v>
      </c>
      <c r="B69" t="s">
        <v>81</v>
      </c>
      <c r="C69" t="s">
        <v>131</v>
      </c>
      <c r="D69" s="1">
        <v>68</v>
      </c>
      <c r="E69" s="9">
        <f>SUMIFS(hmov[CANTIDAD],hmov[IDPRODUCTO],prod[[#This Row],[IDPROD]],hmov[INOUT],1)-SUMIFS(hmov[CANTIDAD],hmov[IDPRODUCTO],prod[[#This Row],[IDPROD]],hmov[INOUT],0)</f>
        <v>0</v>
      </c>
    </row>
    <row r="70" spans="1:5" x14ac:dyDescent="0.25">
      <c r="A70" t="s">
        <v>132</v>
      </c>
      <c r="B70" t="s">
        <v>81</v>
      </c>
      <c r="C70" t="s">
        <v>131</v>
      </c>
      <c r="D70" s="1">
        <v>69</v>
      </c>
      <c r="E70" s="9">
        <f>SUMIFS(hmov[CANTIDAD],hmov[IDPRODUCTO],prod[[#This Row],[IDPROD]],hmov[INOUT],1)-SUMIFS(hmov[CANTIDAD],hmov[IDPRODUCTO],prod[[#This Row],[IDPROD]],hmov[INOUT],0)</f>
        <v>0</v>
      </c>
    </row>
    <row r="71" spans="1:5" x14ac:dyDescent="0.25">
      <c r="A71" t="s">
        <v>102</v>
      </c>
      <c r="B71" t="s">
        <v>81</v>
      </c>
      <c r="C71" t="s">
        <v>131</v>
      </c>
      <c r="D71" s="1">
        <v>70</v>
      </c>
      <c r="E71" s="9">
        <f>SUMIFS(hmov[CANTIDAD],hmov[IDPRODUCTO],prod[[#This Row],[IDPROD]],hmov[INOUT],1)-SUMIFS(hmov[CANTIDAD],hmov[IDPRODUCTO],prod[[#This Row],[IDPROD]],hmov[INOUT],0)</f>
        <v>0</v>
      </c>
    </row>
    <row r="72" spans="1:5" x14ac:dyDescent="0.25">
      <c r="A72" t="s">
        <v>110</v>
      </c>
      <c r="B72" t="s">
        <v>81</v>
      </c>
      <c r="C72" t="s">
        <v>131</v>
      </c>
      <c r="D72" s="1">
        <v>71</v>
      </c>
      <c r="E72" s="9">
        <f>SUMIFS(hmov[CANTIDAD],hmov[IDPRODUCTO],prod[[#This Row],[IDPROD]],hmov[INOUT],1)-SUMIFS(hmov[CANTIDAD],hmov[IDPRODUCTO],prod[[#This Row],[IDPROD]],hmov[INOUT],0)</f>
        <v>0</v>
      </c>
    </row>
    <row r="73" spans="1:5" x14ac:dyDescent="0.25">
      <c r="A73" t="s">
        <v>111</v>
      </c>
      <c r="B73" t="s">
        <v>81</v>
      </c>
      <c r="C73" t="s">
        <v>131</v>
      </c>
      <c r="D73" s="1">
        <v>72</v>
      </c>
      <c r="E73" s="9">
        <f>SUMIFS(hmov[CANTIDAD],hmov[IDPRODUCTO],prod[[#This Row],[IDPROD]],hmov[INOUT],1)-SUMIFS(hmov[CANTIDAD],hmov[IDPRODUCTO],prod[[#This Row],[IDPROD]],hmov[INOUT],0)</f>
        <v>0</v>
      </c>
    </row>
    <row r="74" spans="1:5" x14ac:dyDescent="0.25">
      <c r="A74" t="s">
        <v>118</v>
      </c>
      <c r="B74" t="s">
        <v>81</v>
      </c>
      <c r="C74" t="s">
        <v>131</v>
      </c>
      <c r="D74" s="1">
        <v>73</v>
      </c>
      <c r="E74" s="9">
        <f>SUMIFS(hmov[CANTIDAD],hmov[IDPRODUCTO],prod[[#This Row],[IDPROD]],hmov[INOUT],1)-SUMIFS(hmov[CANTIDAD],hmov[IDPRODUCTO],prod[[#This Row],[IDPROD]],hmov[INOUT],0)</f>
        <v>0</v>
      </c>
    </row>
    <row r="75" spans="1:5" x14ac:dyDescent="0.25">
      <c r="A75" t="s">
        <v>133</v>
      </c>
      <c r="B75" t="s">
        <v>81</v>
      </c>
      <c r="C75" t="s">
        <v>131</v>
      </c>
      <c r="D75" s="1">
        <v>74</v>
      </c>
      <c r="E75" s="9">
        <f>SUMIFS(hmov[CANTIDAD],hmov[IDPRODUCTO],prod[[#This Row],[IDPROD]],hmov[INOUT],1)-SUMIFS(hmov[CANTIDAD],hmov[IDPRODUCTO],prod[[#This Row],[IDPROD]],hmov[INOUT],0)</f>
        <v>0</v>
      </c>
    </row>
    <row r="76" spans="1:5" x14ac:dyDescent="0.25">
      <c r="A76" t="s">
        <v>134</v>
      </c>
      <c r="B76" t="s">
        <v>81</v>
      </c>
      <c r="C76" t="s">
        <v>131</v>
      </c>
      <c r="D76" s="1">
        <v>75</v>
      </c>
      <c r="E76" s="9">
        <f>SUMIFS(hmov[CANTIDAD],hmov[IDPRODUCTO],prod[[#This Row],[IDPROD]],hmov[INOUT],1)-SUMIFS(hmov[CANTIDAD],hmov[IDPRODUCTO],prod[[#This Row],[IDPROD]],hmov[INOUT],0)</f>
        <v>0</v>
      </c>
    </row>
    <row r="77" spans="1:5" x14ac:dyDescent="0.25">
      <c r="A77" t="s">
        <v>135</v>
      </c>
      <c r="B77" t="s">
        <v>81</v>
      </c>
      <c r="C77" t="s">
        <v>131</v>
      </c>
      <c r="D77" s="1">
        <v>76</v>
      </c>
      <c r="E77" s="9">
        <f>SUMIFS(hmov[CANTIDAD],hmov[IDPRODUCTO],prod[[#This Row],[IDPROD]],hmov[INOUT],1)-SUMIFS(hmov[CANTIDAD],hmov[IDPRODUCTO],prod[[#This Row],[IDPROD]],hmov[INOUT],0)</f>
        <v>0</v>
      </c>
    </row>
    <row r="78" spans="1:5" x14ac:dyDescent="0.25">
      <c r="A78" t="s">
        <v>119</v>
      </c>
      <c r="B78" t="s">
        <v>81</v>
      </c>
      <c r="C78" t="s">
        <v>131</v>
      </c>
      <c r="D78" s="1">
        <v>77</v>
      </c>
      <c r="E78" s="9">
        <f>SUMIFS(hmov[CANTIDAD],hmov[IDPRODUCTO],prod[[#This Row],[IDPROD]],hmov[INOUT],1)-SUMIFS(hmov[CANTIDAD],hmov[IDPRODUCTO],prod[[#This Row],[IDPROD]],hmov[INOUT],0)</f>
        <v>0</v>
      </c>
    </row>
    <row r="79" spans="1:5" x14ac:dyDescent="0.25">
      <c r="A79" t="s">
        <v>97</v>
      </c>
      <c r="B79" t="s">
        <v>81</v>
      </c>
      <c r="C79" t="s">
        <v>131</v>
      </c>
      <c r="D79" s="1">
        <v>78</v>
      </c>
      <c r="E79" s="9">
        <f>SUMIFS(hmov[CANTIDAD],hmov[IDPRODUCTO],prod[[#This Row],[IDPROD]],hmov[INOUT],1)-SUMIFS(hmov[CANTIDAD],hmov[IDPRODUCTO],prod[[#This Row],[IDPROD]],hmov[INOUT],0)</f>
        <v>0</v>
      </c>
    </row>
    <row r="80" spans="1:5" x14ac:dyDescent="0.25">
      <c r="A80" t="s">
        <v>136</v>
      </c>
      <c r="B80" t="s">
        <v>81</v>
      </c>
      <c r="C80" t="s">
        <v>131</v>
      </c>
      <c r="D80" s="1">
        <v>79</v>
      </c>
      <c r="E80" s="9">
        <f>SUMIFS(hmov[CANTIDAD],hmov[IDPRODUCTO],prod[[#This Row],[IDPROD]],hmov[INOUT],1)-SUMIFS(hmov[CANTIDAD],hmov[IDPRODUCTO],prod[[#This Row],[IDPROD]],hmov[INOUT],0)</f>
        <v>0</v>
      </c>
    </row>
    <row r="81" spans="1:5" x14ac:dyDescent="0.25">
      <c r="A81" t="s">
        <v>112</v>
      </c>
      <c r="B81" t="s">
        <v>81</v>
      </c>
      <c r="C81" t="s">
        <v>131</v>
      </c>
      <c r="D81" s="1">
        <v>80</v>
      </c>
      <c r="E81" s="9">
        <f>SUMIFS(hmov[CANTIDAD],hmov[IDPRODUCTO],prod[[#This Row],[IDPROD]],hmov[INOUT],1)-SUMIFS(hmov[CANTIDAD],hmov[IDPRODUCTO],prod[[#This Row],[IDPROD]],hmov[INOUT],0)</f>
        <v>0</v>
      </c>
    </row>
    <row r="82" spans="1:5" x14ac:dyDescent="0.25">
      <c r="A82" t="s">
        <v>113</v>
      </c>
      <c r="B82" t="s">
        <v>81</v>
      </c>
      <c r="C82" t="s">
        <v>131</v>
      </c>
      <c r="D82" s="1">
        <v>81</v>
      </c>
      <c r="E82" s="9">
        <f>SUMIFS(hmov[CANTIDAD],hmov[IDPRODUCTO],prod[[#This Row],[IDPROD]],hmov[INOUT],1)-SUMIFS(hmov[CANTIDAD],hmov[IDPRODUCTO],prod[[#This Row],[IDPROD]],hmov[INOUT],0)</f>
        <v>0</v>
      </c>
    </row>
    <row r="83" spans="1:5" x14ac:dyDescent="0.25">
      <c r="A83" t="s">
        <v>137</v>
      </c>
      <c r="B83" t="s">
        <v>81</v>
      </c>
      <c r="C83" t="s">
        <v>131</v>
      </c>
      <c r="D83" s="1">
        <v>82</v>
      </c>
      <c r="E83" s="9">
        <f>SUMIFS(hmov[CANTIDAD],hmov[IDPRODUCTO],prod[[#This Row],[IDPROD]],hmov[INOUT],1)-SUMIFS(hmov[CANTIDAD],hmov[IDPRODUCTO],prod[[#This Row],[IDPROD]],hmov[INOUT],0)</f>
        <v>0</v>
      </c>
    </row>
    <row r="84" spans="1:5" x14ac:dyDescent="0.25">
      <c r="A84" t="s">
        <v>99</v>
      </c>
      <c r="B84" t="s">
        <v>81</v>
      </c>
      <c r="C84" t="s">
        <v>131</v>
      </c>
      <c r="D84" s="1">
        <v>83</v>
      </c>
      <c r="E84" s="9">
        <f>SUMIFS(hmov[CANTIDAD],hmov[IDPRODUCTO],prod[[#This Row],[IDPROD]],hmov[INOUT],1)-SUMIFS(hmov[CANTIDAD],hmov[IDPRODUCTO],prod[[#This Row],[IDPROD]],hmov[INOUT],0)</f>
        <v>0</v>
      </c>
    </row>
    <row r="85" spans="1:5" x14ac:dyDescent="0.25">
      <c r="A85" t="s">
        <v>138</v>
      </c>
      <c r="B85" t="s">
        <v>81</v>
      </c>
      <c r="C85" t="s">
        <v>131</v>
      </c>
      <c r="D85" s="1">
        <v>84</v>
      </c>
      <c r="E85" s="9">
        <f>SUMIFS(hmov[CANTIDAD],hmov[IDPRODUCTO],prod[[#This Row],[IDPROD]],hmov[INOUT],1)-SUMIFS(hmov[CANTIDAD],hmov[IDPRODUCTO],prod[[#This Row],[IDPROD]],hmov[INOUT],0)</f>
        <v>0</v>
      </c>
    </row>
    <row r="86" spans="1:5" x14ac:dyDescent="0.25">
      <c r="A86" t="s">
        <v>139</v>
      </c>
      <c r="B86" t="s">
        <v>81</v>
      </c>
      <c r="C86" t="s">
        <v>131</v>
      </c>
      <c r="D86" s="1">
        <v>85</v>
      </c>
      <c r="E86" s="9">
        <f>SUMIFS(hmov[CANTIDAD],hmov[IDPRODUCTO],prod[[#This Row],[IDPROD]],hmov[INOUT],1)-SUMIFS(hmov[CANTIDAD],hmov[IDPRODUCTO],prod[[#This Row],[IDPROD]],hmov[INOUT],0)</f>
        <v>0</v>
      </c>
    </row>
    <row r="87" spans="1:5" x14ac:dyDescent="0.25">
      <c r="A87" t="s">
        <v>107</v>
      </c>
      <c r="B87" t="s">
        <v>81</v>
      </c>
      <c r="C87" t="s">
        <v>131</v>
      </c>
      <c r="D87" s="1">
        <v>86</v>
      </c>
      <c r="E87" s="9">
        <f>SUMIFS(hmov[CANTIDAD],hmov[IDPRODUCTO],prod[[#This Row],[IDPROD]],hmov[INOUT],1)-SUMIFS(hmov[CANTIDAD],hmov[IDPRODUCTO],prod[[#This Row],[IDPROD]],hmov[INOUT],0)</f>
        <v>0</v>
      </c>
    </row>
    <row r="88" spans="1:5" x14ac:dyDescent="0.25">
      <c r="A88" t="s">
        <v>106</v>
      </c>
      <c r="B88" t="s">
        <v>81</v>
      </c>
      <c r="C88" t="s">
        <v>131</v>
      </c>
      <c r="D88" s="1">
        <v>87</v>
      </c>
      <c r="E88" s="9">
        <f>SUMIFS(hmov[CANTIDAD],hmov[IDPRODUCTO],prod[[#This Row],[IDPROD]],hmov[INOUT],1)-SUMIFS(hmov[CANTIDAD],hmov[IDPRODUCTO],prod[[#This Row],[IDPROD]],hmov[INOUT],0)</f>
        <v>0</v>
      </c>
    </row>
    <row r="89" spans="1:5" x14ac:dyDescent="0.25">
      <c r="A89" t="s">
        <v>140</v>
      </c>
      <c r="B89" t="s">
        <v>54</v>
      </c>
      <c r="C89" t="s">
        <v>55</v>
      </c>
      <c r="D89" s="1">
        <v>88</v>
      </c>
      <c r="E89" s="9">
        <f>SUMIFS(hmov[CANTIDAD],hmov[IDPRODUCTO],prod[[#This Row],[IDPROD]],hmov[INOUT],1)-SUMIFS(hmov[CANTIDAD],hmov[IDPRODUCTO],prod[[#This Row],[IDPROD]],hmov[INOUT],0)</f>
        <v>0</v>
      </c>
    </row>
    <row r="90" spans="1:5" x14ac:dyDescent="0.25">
      <c r="A90" t="s">
        <v>141</v>
      </c>
      <c r="B90" t="s">
        <v>54</v>
      </c>
      <c r="C90" t="s">
        <v>55</v>
      </c>
      <c r="D90" s="1">
        <v>89</v>
      </c>
      <c r="E90" s="9">
        <f>SUMIFS(hmov[CANTIDAD],hmov[IDPRODUCTO],prod[[#This Row],[IDPROD]],hmov[INOUT],1)-SUMIFS(hmov[CANTIDAD],hmov[IDPRODUCTO],prod[[#This Row],[IDPROD]],hmov[INOUT],0)</f>
        <v>0</v>
      </c>
    </row>
    <row r="91" spans="1:5" x14ac:dyDescent="0.25">
      <c r="A91" t="s">
        <v>142</v>
      </c>
      <c r="B91" t="s">
        <v>54</v>
      </c>
      <c r="C91" t="s">
        <v>55</v>
      </c>
      <c r="D91" s="1">
        <v>90</v>
      </c>
      <c r="E91" s="9">
        <f>SUMIFS(hmov[CANTIDAD],hmov[IDPRODUCTO],prod[[#This Row],[IDPROD]],hmov[INOUT],1)-SUMIFS(hmov[CANTIDAD],hmov[IDPRODUCTO],prod[[#This Row],[IDPROD]],hmov[INOUT],0)</f>
        <v>0</v>
      </c>
    </row>
    <row r="92" spans="1:5" x14ac:dyDescent="0.25">
      <c r="A92" t="s">
        <v>143</v>
      </c>
      <c r="B92" t="s">
        <v>62</v>
      </c>
      <c r="C92" t="s">
        <v>144</v>
      </c>
      <c r="D92" s="1">
        <v>91</v>
      </c>
      <c r="E92" s="9">
        <f>SUMIFS(hmov[CANTIDAD],hmov[IDPRODUCTO],prod[[#This Row],[IDPROD]],hmov[INOUT],1)-SUMIFS(hmov[CANTIDAD],hmov[IDPRODUCTO],prod[[#This Row],[IDPROD]],hmov[INOUT],0)</f>
        <v>0</v>
      </c>
    </row>
    <row r="93" spans="1:5" x14ac:dyDescent="0.25">
      <c r="A93" t="s">
        <v>145</v>
      </c>
      <c r="B93" t="s">
        <v>62</v>
      </c>
      <c r="C93" t="s">
        <v>144</v>
      </c>
      <c r="D93" s="1">
        <v>92</v>
      </c>
      <c r="E93" s="9">
        <f>SUMIFS(hmov[CANTIDAD],hmov[IDPRODUCTO],prod[[#This Row],[IDPROD]],hmov[INOUT],1)-SUMIFS(hmov[CANTIDAD],hmov[IDPRODUCTO],prod[[#This Row],[IDPROD]],hmov[INOUT],0)</f>
        <v>0</v>
      </c>
    </row>
    <row r="94" spans="1:5" x14ac:dyDescent="0.25">
      <c r="A94" t="s">
        <v>146</v>
      </c>
      <c r="B94" t="s">
        <v>62</v>
      </c>
      <c r="C94" t="s">
        <v>144</v>
      </c>
      <c r="D94" s="1">
        <v>93</v>
      </c>
      <c r="E94" s="9">
        <f>SUMIFS(hmov[CANTIDAD],hmov[IDPRODUCTO],prod[[#This Row],[IDPROD]],hmov[INOUT],1)-SUMIFS(hmov[CANTIDAD],hmov[IDPRODUCTO],prod[[#This Row],[IDPROD]],hmov[INOUT],0)</f>
        <v>0</v>
      </c>
    </row>
    <row r="95" spans="1:5" x14ac:dyDescent="0.25">
      <c r="A95" t="s">
        <v>147</v>
      </c>
      <c r="B95" t="s">
        <v>62</v>
      </c>
      <c r="C95" t="s">
        <v>144</v>
      </c>
      <c r="D95" s="1">
        <v>94</v>
      </c>
      <c r="E95" s="9">
        <f>SUMIFS(hmov[CANTIDAD],hmov[IDPRODUCTO],prod[[#This Row],[IDPROD]],hmov[INOUT],1)-SUMIFS(hmov[CANTIDAD],hmov[IDPRODUCTO],prod[[#This Row],[IDPROD]],hmov[INOUT],0)</f>
        <v>0</v>
      </c>
    </row>
    <row r="96" spans="1:5" x14ac:dyDescent="0.25">
      <c r="A96" t="s">
        <v>148</v>
      </c>
      <c r="B96" t="s">
        <v>149</v>
      </c>
      <c r="C96" t="s">
        <v>144</v>
      </c>
      <c r="D96" s="1">
        <v>95</v>
      </c>
      <c r="E96" s="9">
        <f>SUMIFS(hmov[CANTIDAD],hmov[IDPRODUCTO],prod[[#This Row],[IDPROD]],hmov[INOUT],1)-SUMIFS(hmov[CANTIDAD],hmov[IDPRODUCTO],prod[[#This Row],[IDPROD]],hmov[INOUT],0)</f>
        <v>0</v>
      </c>
    </row>
    <row r="97" spans="1:5" x14ac:dyDescent="0.25">
      <c r="A97" t="s">
        <v>150</v>
      </c>
      <c r="B97" t="s">
        <v>62</v>
      </c>
      <c r="C97" t="s">
        <v>144</v>
      </c>
      <c r="D97" s="1">
        <v>96</v>
      </c>
      <c r="E97" s="9">
        <f>SUMIFS(hmov[CANTIDAD],hmov[IDPRODUCTO],prod[[#This Row],[IDPROD]],hmov[INOUT],1)-SUMIFS(hmov[CANTIDAD],hmov[IDPRODUCTO],prod[[#This Row],[IDPROD]],hmov[INOUT],0)</f>
        <v>0</v>
      </c>
    </row>
    <row r="98" spans="1:5" x14ac:dyDescent="0.25">
      <c r="A98" t="s">
        <v>122</v>
      </c>
      <c r="B98" t="s">
        <v>62</v>
      </c>
      <c r="C98" t="s">
        <v>144</v>
      </c>
      <c r="D98" s="1">
        <v>97</v>
      </c>
      <c r="E98" s="9">
        <f>SUMIFS(hmov[CANTIDAD],hmov[IDPRODUCTO],prod[[#This Row],[IDPROD]],hmov[INOUT],1)-SUMIFS(hmov[CANTIDAD],hmov[IDPRODUCTO],prod[[#This Row],[IDPROD]],hmov[INOUT],0)</f>
        <v>0</v>
      </c>
    </row>
    <row r="99" spans="1:5" x14ac:dyDescent="0.25">
      <c r="A99" t="s">
        <v>151</v>
      </c>
      <c r="B99" t="s">
        <v>62</v>
      </c>
      <c r="C99" t="s">
        <v>144</v>
      </c>
      <c r="D99" s="1">
        <v>98</v>
      </c>
      <c r="E99" s="9">
        <f>SUMIFS(hmov[CANTIDAD],hmov[IDPRODUCTO],prod[[#This Row],[IDPROD]],hmov[INOUT],1)-SUMIFS(hmov[CANTIDAD],hmov[IDPRODUCTO],prod[[#This Row],[IDPROD]],hmov[INOUT],0)</f>
        <v>0</v>
      </c>
    </row>
    <row r="100" spans="1:5" x14ac:dyDescent="0.25">
      <c r="A100" t="s">
        <v>152</v>
      </c>
      <c r="B100" t="s">
        <v>62</v>
      </c>
      <c r="C100" t="s">
        <v>144</v>
      </c>
      <c r="D100" s="1">
        <v>99</v>
      </c>
      <c r="E100" s="9">
        <f>SUMIFS(hmov[CANTIDAD],hmov[IDPRODUCTO],prod[[#This Row],[IDPROD]],hmov[INOUT],1)-SUMIFS(hmov[CANTIDAD],hmov[IDPRODUCTO],prod[[#This Row],[IDPROD]],hmov[INOUT],0)</f>
        <v>0</v>
      </c>
    </row>
    <row r="101" spans="1:5" x14ac:dyDescent="0.25">
      <c r="A101" t="s">
        <v>153</v>
      </c>
      <c r="B101" t="s">
        <v>62</v>
      </c>
      <c r="C101" t="s">
        <v>144</v>
      </c>
      <c r="D101" s="1">
        <v>100</v>
      </c>
      <c r="E101" s="9">
        <f>SUMIFS(hmov[CANTIDAD],hmov[IDPRODUCTO],prod[[#This Row],[IDPROD]],hmov[INOUT],1)-SUMIFS(hmov[CANTIDAD],hmov[IDPRODUCTO],prod[[#This Row],[IDPROD]],hmov[INOUT],0)</f>
        <v>0</v>
      </c>
    </row>
    <row r="102" spans="1:5" x14ac:dyDescent="0.25">
      <c r="A102" t="s">
        <v>154</v>
      </c>
      <c r="B102" t="s">
        <v>62</v>
      </c>
      <c r="C102" t="s">
        <v>144</v>
      </c>
      <c r="D102" s="1">
        <v>101</v>
      </c>
      <c r="E102" s="9">
        <f>SUMIFS(hmov[CANTIDAD],hmov[IDPRODUCTO],prod[[#This Row],[IDPROD]],hmov[INOUT],1)-SUMIFS(hmov[CANTIDAD],hmov[IDPRODUCTO],prod[[#This Row],[IDPROD]],hmov[INOUT],0)</f>
        <v>0</v>
      </c>
    </row>
    <row r="103" spans="1:5" x14ac:dyDescent="0.25">
      <c r="A103" t="s">
        <v>155</v>
      </c>
      <c r="B103" t="s">
        <v>62</v>
      </c>
      <c r="C103" t="s">
        <v>144</v>
      </c>
      <c r="D103" s="1">
        <v>102</v>
      </c>
      <c r="E103" s="9">
        <f>SUMIFS(hmov[CANTIDAD],hmov[IDPRODUCTO],prod[[#This Row],[IDPROD]],hmov[INOUT],1)-SUMIFS(hmov[CANTIDAD],hmov[IDPRODUCTO],prod[[#This Row],[IDPROD]],hmov[INOUT],0)</f>
        <v>0</v>
      </c>
    </row>
    <row r="104" spans="1:5" x14ac:dyDescent="0.25">
      <c r="A104" t="s">
        <v>156</v>
      </c>
      <c r="B104" t="s">
        <v>62</v>
      </c>
      <c r="C104" t="s">
        <v>144</v>
      </c>
      <c r="D104" s="1">
        <v>103</v>
      </c>
      <c r="E104" s="9">
        <f>SUMIFS(hmov[CANTIDAD],hmov[IDPRODUCTO],prod[[#This Row],[IDPROD]],hmov[INOUT],1)-SUMIFS(hmov[CANTIDAD],hmov[IDPRODUCTO],prod[[#This Row],[IDPROD]],hmov[INOUT],0)</f>
        <v>0</v>
      </c>
    </row>
    <row r="105" spans="1:5" x14ac:dyDescent="0.25">
      <c r="A105" t="s">
        <v>157</v>
      </c>
      <c r="B105" t="s">
        <v>62</v>
      </c>
      <c r="C105" t="s">
        <v>144</v>
      </c>
      <c r="D105" s="1">
        <v>104</v>
      </c>
      <c r="E105" s="9">
        <f>SUMIFS(hmov[CANTIDAD],hmov[IDPRODUCTO],prod[[#This Row],[IDPROD]],hmov[INOUT],1)-SUMIFS(hmov[CANTIDAD],hmov[IDPRODUCTO],prod[[#This Row],[IDPROD]],hmov[INOUT],0)</f>
        <v>0</v>
      </c>
    </row>
    <row r="106" spans="1:5" x14ac:dyDescent="0.25">
      <c r="A106" t="s">
        <v>158</v>
      </c>
      <c r="B106" t="s">
        <v>62</v>
      </c>
      <c r="C106" t="s">
        <v>144</v>
      </c>
      <c r="D106" s="1">
        <v>105</v>
      </c>
      <c r="E106" s="9">
        <f>SUMIFS(hmov[CANTIDAD],hmov[IDPRODUCTO],prod[[#This Row],[IDPROD]],hmov[INOUT],1)-SUMIFS(hmov[CANTIDAD],hmov[IDPRODUCTO],prod[[#This Row],[IDPROD]],hmov[INOUT],0)</f>
        <v>0</v>
      </c>
    </row>
  </sheetData>
  <dataValidations count="1">
    <dataValidation type="list" allowBlank="1" showInputMessage="1" showErrorMessage="1" sqref="C2:C106" xr:uid="{F29B0EAA-4854-48DC-8608-23FF0F444CB7}">
      <formula1>"IMMULITE,FUJI,COMPUTO,PAPELERIA,QUIRURJICO,SYSMEX BH,SPINREACT,ACT 5 DIFF,MINDRAY BC3200,PIPETAS,ECLIPSE APEXBIO,NIHON KOHDEN,LIMPIEZA,MICROBIOLOGIA,GARRAFONES,SUPLEMENTOS,PRUEBAS RAPIDAS,JERINGAS,TUBOS,GETEIN 1100"</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F232D-C5F2-4D8A-85F0-0CE01EDDF91E}">
  <sheetPr codeName="prov">
    <tabColor theme="6" tint="0.39997558519241921"/>
  </sheetPr>
  <dimension ref="A1:B10"/>
  <sheetViews>
    <sheetView workbookViewId="0">
      <selection activeCell="B1" sqref="B1"/>
    </sheetView>
  </sheetViews>
  <sheetFormatPr baseColWidth="10" defaultRowHeight="15" x14ac:dyDescent="0.25"/>
  <cols>
    <col min="1" max="2" width="15.7109375" customWidth="1"/>
  </cols>
  <sheetData>
    <row r="1" spans="1:2" x14ac:dyDescent="0.25">
      <c r="A1" t="s">
        <v>16</v>
      </c>
      <c r="B1" t="s">
        <v>28</v>
      </c>
    </row>
    <row r="2" spans="1:2" x14ac:dyDescent="0.25">
      <c r="A2" t="s">
        <v>98</v>
      </c>
      <c r="B2" s="1">
        <v>1</v>
      </c>
    </row>
    <row r="3" spans="1:2" x14ac:dyDescent="0.25">
      <c r="A3" t="s">
        <v>159</v>
      </c>
      <c r="B3" s="1">
        <v>2</v>
      </c>
    </row>
    <row r="4" spans="1:2" x14ac:dyDescent="0.25">
      <c r="A4" t="s">
        <v>160</v>
      </c>
      <c r="B4" s="1">
        <v>3</v>
      </c>
    </row>
    <row r="5" spans="1:2" x14ac:dyDescent="0.25">
      <c r="A5" t="s">
        <v>161</v>
      </c>
      <c r="B5" s="1">
        <v>4</v>
      </c>
    </row>
    <row r="6" spans="1:2" x14ac:dyDescent="0.25">
      <c r="A6" t="s">
        <v>162</v>
      </c>
      <c r="B6" s="1">
        <v>5</v>
      </c>
    </row>
    <row r="7" spans="1:2" x14ac:dyDescent="0.25">
      <c r="A7" t="s">
        <v>163</v>
      </c>
      <c r="B7" s="1">
        <v>6</v>
      </c>
    </row>
    <row r="8" spans="1:2" x14ac:dyDescent="0.25">
      <c r="A8" t="s">
        <v>164</v>
      </c>
      <c r="B8" s="1">
        <v>7</v>
      </c>
    </row>
    <row r="9" spans="1:2" x14ac:dyDescent="0.25">
      <c r="A9" t="s">
        <v>165</v>
      </c>
      <c r="B9" s="1">
        <v>8</v>
      </c>
    </row>
    <row r="10" spans="1:2" x14ac:dyDescent="0.25">
      <c r="A10" t="s">
        <v>166</v>
      </c>
      <c r="B10" s="1">
        <v>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4D817-B563-4DE8-B4B9-19853C387178}">
  <sheetPr codeName="suc">
    <tabColor theme="6" tint="0.39997558519241921"/>
  </sheetPr>
  <dimension ref="A1:B8"/>
  <sheetViews>
    <sheetView workbookViewId="0">
      <selection activeCell="A9" sqref="A9"/>
    </sheetView>
  </sheetViews>
  <sheetFormatPr baseColWidth="10" defaultRowHeight="15" x14ac:dyDescent="0.25"/>
  <cols>
    <col min="1" max="2" width="15.7109375" customWidth="1"/>
  </cols>
  <sheetData>
    <row r="1" spans="1:2" x14ac:dyDescent="0.25">
      <c r="A1" t="s">
        <v>15</v>
      </c>
      <c r="B1" t="s">
        <v>29</v>
      </c>
    </row>
    <row r="2" spans="1:2" x14ac:dyDescent="0.25">
      <c r="A2" t="s">
        <v>167</v>
      </c>
      <c r="B2" s="1">
        <v>1</v>
      </c>
    </row>
    <row r="3" spans="1:2" x14ac:dyDescent="0.25">
      <c r="A3" t="s">
        <v>168</v>
      </c>
      <c r="B3" s="1">
        <v>2</v>
      </c>
    </row>
    <row r="4" spans="1:2" x14ac:dyDescent="0.25">
      <c r="A4" t="s">
        <v>169</v>
      </c>
      <c r="B4" s="1">
        <v>3</v>
      </c>
    </row>
    <row r="5" spans="1:2" x14ac:dyDescent="0.25">
      <c r="A5" t="s">
        <v>170</v>
      </c>
      <c r="B5" s="1">
        <v>4</v>
      </c>
    </row>
    <row r="6" spans="1:2" x14ac:dyDescent="0.25">
      <c r="A6" t="s">
        <v>171</v>
      </c>
      <c r="B6" s="1">
        <v>5</v>
      </c>
    </row>
    <row r="7" spans="1:2" x14ac:dyDescent="0.25">
      <c r="A7" t="s">
        <v>172</v>
      </c>
      <c r="B7" s="1">
        <v>6</v>
      </c>
    </row>
    <row r="8" spans="1:2" x14ac:dyDescent="0.25">
      <c r="A8" t="s">
        <v>173</v>
      </c>
      <c r="B8" s="1">
        <v>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AF825-3910-4336-A200-F482D48AF2AA}">
  <sheetPr codeName="ar">
    <tabColor theme="6" tint="0.39997558519241921"/>
  </sheetPr>
  <dimension ref="A1:B21"/>
  <sheetViews>
    <sheetView workbookViewId="0">
      <selection activeCell="A22" sqref="A22"/>
    </sheetView>
  </sheetViews>
  <sheetFormatPr baseColWidth="10" defaultRowHeight="15" x14ac:dyDescent="0.25"/>
  <cols>
    <col min="1" max="2" width="15.7109375" customWidth="1"/>
  </cols>
  <sheetData>
    <row r="1" spans="1:2" x14ac:dyDescent="0.25">
      <c r="A1" t="s">
        <v>25</v>
      </c>
      <c r="B1" t="s">
        <v>30</v>
      </c>
    </row>
    <row r="2" spans="1:2" x14ac:dyDescent="0.25">
      <c r="A2" t="s">
        <v>123</v>
      </c>
      <c r="B2" s="1">
        <v>1</v>
      </c>
    </row>
    <row r="3" spans="1:2" x14ac:dyDescent="0.25">
      <c r="A3" t="s">
        <v>131</v>
      </c>
      <c r="B3" s="1">
        <v>2</v>
      </c>
    </row>
    <row r="4" spans="1:2" x14ac:dyDescent="0.25">
      <c r="A4" t="s">
        <v>174</v>
      </c>
      <c r="B4" s="1">
        <v>3</v>
      </c>
    </row>
    <row r="5" spans="1:2" x14ac:dyDescent="0.25">
      <c r="A5" t="s">
        <v>67</v>
      </c>
      <c r="B5" s="1">
        <v>4</v>
      </c>
    </row>
    <row r="6" spans="1:2" x14ac:dyDescent="0.25">
      <c r="A6" t="s">
        <v>175</v>
      </c>
      <c r="B6" s="1">
        <v>5</v>
      </c>
    </row>
    <row r="7" spans="1:2" x14ac:dyDescent="0.25">
      <c r="A7" t="s">
        <v>176</v>
      </c>
      <c r="B7" s="1">
        <v>6</v>
      </c>
    </row>
    <row r="8" spans="1:2" x14ac:dyDescent="0.25">
      <c r="A8" t="s">
        <v>98</v>
      </c>
      <c r="B8" s="1">
        <v>7</v>
      </c>
    </row>
    <row r="9" spans="1:2" x14ac:dyDescent="0.25">
      <c r="A9" t="s">
        <v>177</v>
      </c>
      <c r="B9" s="1">
        <v>8</v>
      </c>
    </row>
    <row r="10" spans="1:2" x14ac:dyDescent="0.25">
      <c r="A10" t="s">
        <v>178</v>
      </c>
      <c r="B10" s="1">
        <v>9</v>
      </c>
    </row>
    <row r="11" spans="1:2" x14ac:dyDescent="0.25">
      <c r="A11" t="s">
        <v>179</v>
      </c>
      <c r="B11" s="1">
        <v>10</v>
      </c>
    </row>
    <row r="12" spans="1:2" x14ac:dyDescent="0.25">
      <c r="A12" t="s">
        <v>180</v>
      </c>
      <c r="B12" s="1">
        <v>11</v>
      </c>
    </row>
    <row r="13" spans="1:2" x14ac:dyDescent="0.25">
      <c r="A13" t="s">
        <v>181</v>
      </c>
      <c r="B13" s="1">
        <v>12</v>
      </c>
    </row>
    <row r="14" spans="1:2" x14ac:dyDescent="0.25">
      <c r="A14" t="s">
        <v>182</v>
      </c>
      <c r="B14" s="1">
        <v>13</v>
      </c>
    </row>
    <row r="15" spans="1:2" x14ac:dyDescent="0.25">
      <c r="A15" t="s">
        <v>55</v>
      </c>
      <c r="B15" s="1">
        <v>14</v>
      </c>
    </row>
    <row r="16" spans="1:2" x14ac:dyDescent="0.25">
      <c r="A16" t="s">
        <v>183</v>
      </c>
      <c r="B16" s="1">
        <v>15</v>
      </c>
    </row>
    <row r="17" spans="1:2" x14ac:dyDescent="0.25">
      <c r="A17" t="s">
        <v>63</v>
      </c>
      <c r="B17" s="1">
        <v>16</v>
      </c>
    </row>
    <row r="18" spans="1:2" x14ac:dyDescent="0.25">
      <c r="A18" t="s">
        <v>144</v>
      </c>
      <c r="B18" s="1">
        <v>17</v>
      </c>
    </row>
    <row r="19" spans="1:2" x14ac:dyDescent="0.25">
      <c r="A19" t="s">
        <v>82</v>
      </c>
      <c r="B19" s="1">
        <v>18</v>
      </c>
    </row>
    <row r="20" spans="1:2" x14ac:dyDescent="0.25">
      <c r="A20" t="s">
        <v>57</v>
      </c>
      <c r="B20" s="1">
        <v>19</v>
      </c>
    </row>
    <row r="21" spans="1:2" x14ac:dyDescent="0.25">
      <c r="A21" t="s">
        <v>184</v>
      </c>
      <c r="B21" s="1">
        <v>20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D6268-6784-4482-928A-A6AAFC07F15F}">
  <sheetPr codeName="tipmov">
    <tabColor theme="6" tint="0.39997558519241921"/>
  </sheetPr>
  <dimension ref="A1:C4"/>
  <sheetViews>
    <sheetView workbookViewId="0">
      <selection activeCell="A6" sqref="A6"/>
    </sheetView>
  </sheetViews>
  <sheetFormatPr baseColWidth="10" defaultRowHeight="15" x14ac:dyDescent="0.25"/>
  <cols>
    <col min="1" max="3" width="15.7109375" customWidth="1"/>
  </cols>
  <sheetData>
    <row r="1" spans="1:3" x14ac:dyDescent="0.25">
      <c r="A1" t="s">
        <v>31</v>
      </c>
      <c r="B1" t="s">
        <v>18</v>
      </c>
      <c r="C1" t="s">
        <v>32</v>
      </c>
    </row>
    <row r="2" spans="1:3" x14ac:dyDescent="0.25">
      <c r="A2" t="s">
        <v>0</v>
      </c>
      <c r="B2">
        <v>1</v>
      </c>
      <c r="C2" s="1">
        <v>1</v>
      </c>
    </row>
    <row r="3" spans="1:3" x14ac:dyDescent="0.25">
      <c r="A3" t="s">
        <v>1</v>
      </c>
      <c r="B3">
        <v>0</v>
      </c>
      <c r="C3" s="1">
        <v>2</v>
      </c>
    </row>
    <row r="4" spans="1:3" x14ac:dyDescent="0.25">
      <c r="A4" t="s">
        <v>4</v>
      </c>
      <c r="B4">
        <v>0</v>
      </c>
      <c r="C4" s="1">
        <v>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58BCA-2D7B-4A1A-A5CD-579641745E2B}">
  <sheetPr codeName="hmov">
    <tabColor theme="5" tint="0.79998168889431442"/>
  </sheetPr>
  <dimension ref="A1:M16"/>
  <sheetViews>
    <sheetView workbookViewId="0">
      <selection activeCell="D19" sqref="D19"/>
    </sheetView>
  </sheetViews>
  <sheetFormatPr baseColWidth="10" defaultRowHeight="15" x14ac:dyDescent="0.25"/>
  <cols>
    <col min="1" max="11" width="12.7109375" customWidth="1"/>
    <col min="12" max="12" width="11.42578125" customWidth="1"/>
    <col min="13" max="13" width="11.42578125" style="9" customWidth="1"/>
  </cols>
  <sheetData>
    <row r="1" spans="1:11" x14ac:dyDescent="0.25">
      <c r="A1" t="s">
        <v>14</v>
      </c>
      <c r="B1" t="s">
        <v>33</v>
      </c>
      <c r="C1" t="s">
        <v>32</v>
      </c>
      <c r="D1" t="s">
        <v>18</v>
      </c>
      <c r="E1" t="s">
        <v>29</v>
      </c>
      <c r="F1" t="s">
        <v>28</v>
      </c>
      <c r="G1" t="s">
        <v>34</v>
      </c>
      <c r="H1" t="s">
        <v>22</v>
      </c>
      <c r="I1" t="s">
        <v>35</v>
      </c>
      <c r="J1" t="s">
        <v>21</v>
      </c>
      <c r="K1" t="s">
        <v>23</v>
      </c>
    </row>
    <row r="2" spans="1:11" x14ac:dyDescent="0.25">
      <c r="A2" s="7">
        <v>44748</v>
      </c>
      <c r="B2" s="1">
        <v>1</v>
      </c>
      <c r="C2" s="1">
        <v>1</v>
      </c>
      <c r="D2" s="1">
        <v>1</v>
      </c>
      <c r="E2" s="1"/>
      <c r="F2" s="1">
        <v>0</v>
      </c>
      <c r="G2" s="1">
        <v>0</v>
      </c>
      <c r="H2" s="1">
        <v>0</v>
      </c>
      <c r="I2" s="1">
        <v>0</v>
      </c>
      <c r="J2" s="1">
        <v>9999999999999</v>
      </c>
      <c r="K2" s="7">
        <v>44748</v>
      </c>
    </row>
    <row r="3" spans="1:11" x14ac:dyDescent="0.25">
      <c r="A3" s="7">
        <v>44739</v>
      </c>
      <c r="B3" s="1">
        <v>1</v>
      </c>
      <c r="C3" s="1">
        <v>1</v>
      </c>
      <c r="D3" s="1">
        <v>1</v>
      </c>
      <c r="E3" s="1"/>
      <c r="F3" s="1"/>
      <c r="G3" s="1">
        <v>2</v>
      </c>
      <c r="H3" s="1">
        <v>20</v>
      </c>
      <c r="I3" s="1">
        <v>10</v>
      </c>
      <c r="J3" s="1" t="s">
        <v>36</v>
      </c>
      <c r="K3" s="7">
        <v>44740</v>
      </c>
    </row>
    <row r="4" spans="1:11" x14ac:dyDescent="0.25">
      <c r="A4" s="7">
        <v>44739</v>
      </c>
      <c r="B4" s="1">
        <v>2</v>
      </c>
      <c r="C4" s="1">
        <v>1</v>
      </c>
      <c r="D4" s="1">
        <v>1</v>
      </c>
      <c r="E4" s="1"/>
      <c r="F4" s="1">
        <v>2</v>
      </c>
      <c r="G4" s="1">
        <v>2</v>
      </c>
      <c r="H4" s="1">
        <v>20</v>
      </c>
      <c r="I4" s="1">
        <v>1</v>
      </c>
      <c r="J4" s="1">
        <v>1233</v>
      </c>
      <c r="K4" s="7">
        <v>44740</v>
      </c>
    </row>
    <row r="5" spans="1:11" x14ac:dyDescent="0.25">
      <c r="A5" s="7">
        <v>44739</v>
      </c>
      <c r="B5" s="1">
        <v>2</v>
      </c>
      <c r="C5" s="1">
        <v>1</v>
      </c>
      <c r="D5" s="1">
        <v>1</v>
      </c>
      <c r="E5" s="1"/>
      <c r="F5" s="1">
        <v>2</v>
      </c>
      <c r="G5" s="1">
        <v>3</v>
      </c>
      <c r="H5" s="1">
        <v>10</v>
      </c>
      <c r="I5" s="1">
        <v>2</v>
      </c>
      <c r="J5" s="1">
        <v>1222</v>
      </c>
      <c r="K5" s="7">
        <v>44740</v>
      </c>
    </row>
    <row r="6" spans="1:11" x14ac:dyDescent="0.25">
      <c r="A6" s="7">
        <v>44739</v>
      </c>
      <c r="B6" s="1">
        <v>3</v>
      </c>
      <c r="C6" s="1">
        <v>1</v>
      </c>
      <c r="D6" s="1">
        <v>1</v>
      </c>
      <c r="E6" s="1"/>
      <c r="F6" s="1">
        <v>1</v>
      </c>
      <c r="G6" s="1">
        <v>2</v>
      </c>
      <c r="H6" s="1">
        <v>5</v>
      </c>
      <c r="I6" s="1">
        <v>11</v>
      </c>
      <c r="J6" s="1">
        <v>1111</v>
      </c>
      <c r="K6" s="7">
        <v>44748</v>
      </c>
    </row>
    <row r="7" spans="1:11" x14ac:dyDescent="0.25">
      <c r="A7" s="7">
        <v>44739</v>
      </c>
      <c r="B7" s="1">
        <v>4</v>
      </c>
      <c r="C7" s="1">
        <v>1</v>
      </c>
      <c r="D7" s="1">
        <v>1</v>
      </c>
      <c r="E7" s="1"/>
      <c r="F7" s="1">
        <v>1</v>
      </c>
      <c r="G7" s="1">
        <v>2</v>
      </c>
      <c r="H7" s="1">
        <v>3</v>
      </c>
      <c r="I7" s="1">
        <v>11</v>
      </c>
      <c r="J7" s="1">
        <v>333</v>
      </c>
      <c r="K7" s="7">
        <v>44748</v>
      </c>
    </row>
    <row r="8" spans="1:11" x14ac:dyDescent="0.25">
      <c r="A8" s="7">
        <v>44739</v>
      </c>
      <c r="B8" s="1">
        <v>5</v>
      </c>
      <c r="C8" s="1">
        <v>1</v>
      </c>
      <c r="D8" s="1">
        <v>1</v>
      </c>
      <c r="E8" s="1"/>
      <c r="F8" s="1">
        <v>1</v>
      </c>
      <c r="G8" s="1">
        <v>2</v>
      </c>
      <c r="H8" s="1">
        <v>34</v>
      </c>
      <c r="I8" s="1">
        <v>120</v>
      </c>
      <c r="J8" s="1">
        <v>1111</v>
      </c>
      <c r="K8" s="7">
        <v>44748</v>
      </c>
    </row>
    <row r="9" spans="1:11" x14ac:dyDescent="0.25">
      <c r="A9" s="7">
        <v>44739</v>
      </c>
      <c r="B9" s="1">
        <v>6</v>
      </c>
      <c r="C9" s="1">
        <v>1</v>
      </c>
      <c r="D9" s="1">
        <v>1</v>
      </c>
      <c r="E9" s="1"/>
      <c r="F9" s="1">
        <v>1</v>
      </c>
      <c r="G9" s="1">
        <v>2</v>
      </c>
      <c r="H9" s="1">
        <v>23</v>
      </c>
      <c r="I9" s="1">
        <v>12</v>
      </c>
      <c r="J9" s="1">
        <v>23456</v>
      </c>
      <c r="K9" s="7">
        <v>44748</v>
      </c>
    </row>
    <row r="10" spans="1:11" x14ac:dyDescent="0.25">
      <c r="A10" s="7">
        <v>44739</v>
      </c>
      <c r="B10" s="1">
        <v>7</v>
      </c>
      <c r="C10" s="1">
        <v>1</v>
      </c>
      <c r="D10" s="1">
        <v>1</v>
      </c>
      <c r="E10" s="1"/>
      <c r="F10" s="1">
        <v>1</v>
      </c>
      <c r="G10" s="1">
        <v>3</v>
      </c>
      <c r="H10" s="1">
        <v>10</v>
      </c>
      <c r="I10" s="1">
        <v>34</v>
      </c>
      <c r="J10" s="1">
        <v>233223</v>
      </c>
      <c r="K10" s="7">
        <v>44748</v>
      </c>
    </row>
    <row r="11" spans="1:11" x14ac:dyDescent="0.25">
      <c r="A11" s="7">
        <v>44739</v>
      </c>
      <c r="B11" s="1">
        <v>8</v>
      </c>
      <c r="C11" s="1">
        <v>3</v>
      </c>
      <c r="D11" s="1">
        <v>0</v>
      </c>
      <c r="E11" s="1">
        <v>1</v>
      </c>
      <c r="F11" s="1"/>
      <c r="G11" s="1">
        <v>3</v>
      </c>
      <c r="H11" s="1">
        <v>8</v>
      </c>
      <c r="I11" s="1">
        <v>0</v>
      </c>
      <c r="J11" s="1">
        <v>1222</v>
      </c>
      <c r="K11" s="7">
        <v>44740</v>
      </c>
    </row>
    <row r="12" spans="1:11" x14ac:dyDescent="0.25">
      <c r="A12" s="7">
        <v>44739</v>
      </c>
      <c r="B12" s="1">
        <v>9</v>
      </c>
      <c r="C12" s="1">
        <v>3</v>
      </c>
      <c r="D12" s="1">
        <v>0</v>
      </c>
      <c r="E12" s="1">
        <v>1</v>
      </c>
      <c r="F12" s="1"/>
      <c r="G12" s="1">
        <v>3</v>
      </c>
      <c r="H12" s="1">
        <v>2</v>
      </c>
      <c r="I12" s="1">
        <v>0</v>
      </c>
      <c r="J12" s="1">
        <v>1222</v>
      </c>
      <c r="K12" s="7">
        <v>44740</v>
      </c>
    </row>
    <row r="13" spans="1:11" x14ac:dyDescent="0.25">
      <c r="A13" s="7">
        <v>44739</v>
      </c>
      <c r="B13" s="1">
        <v>9</v>
      </c>
      <c r="C13" s="1">
        <v>3</v>
      </c>
      <c r="D13" s="1">
        <v>0</v>
      </c>
      <c r="E13" s="1">
        <v>1</v>
      </c>
      <c r="F13" s="1"/>
      <c r="G13" s="1">
        <v>3</v>
      </c>
      <c r="H13" s="1">
        <v>10</v>
      </c>
      <c r="I13" s="1">
        <v>0</v>
      </c>
      <c r="J13" s="1">
        <v>233223</v>
      </c>
      <c r="K13" s="7">
        <v>44748</v>
      </c>
    </row>
    <row r="14" spans="1:11" x14ac:dyDescent="0.25">
      <c r="A14" s="7">
        <v>44739</v>
      </c>
      <c r="B14" s="1">
        <v>10</v>
      </c>
      <c r="C14" s="1">
        <v>3</v>
      </c>
      <c r="D14" s="1">
        <v>0</v>
      </c>
      <c r="E14" s="1">
        <v>1</v>
      </c>
      <c r="F14" s="1"/>
      <c r="G14" s="1">
        <v>2</v>
      </c>
      <c r="H14" s="1">
        <v>20</v>
      </c>
      <c r="I14" s="1">
        <v>0</v>
      </c>
      <c r="J14" s="1">
        <v>1233</v>
      </c>
      <c r="K14" s="7">
        <v>44740</v>
      </c>
    </row>
    <row r="15" spans="1:11" x14ac:dyDescent="0.25">
      <c r="A15" s="7">
        <v>44739</v>
      </c>
      <c r="B15" s="1">
        <v>10</v>
      </c>
      <c r="C15" s="1">
        <v>3</v>
      </c>
      <c r="D15" s="1">
        <v>0</v>
      </c>
      <c r="E15" s="1">
        <v>1</v>
      </c>
      <c r="F15" s="1"/>
      <c r="G15" s="1">
        <v>2</v>
      </c>
      <c r="H15" s="1">
        <v>20</v>
      </c>
      <c r="I15" s="1">
        <v>0</v>
      </c>
      <c r="J15" s="1" t="s">
        <v>36</v>
      </c>
      <c r="K15" s="7">
        <v>44740</v>
      </c>
    </row>
    <row r="16" spans="1:11" x14ac:dyDescent="0.25">
      <c r="A16" s="7">
        <v>44739</v>
      </c>
      <c r="B16" s="1">
        <v>11</v>
      </c>
      <c r="C16" s="1">
        <v>1</v>
      </c>
      <c r="D16" s="1">
        <v>1</v>
      </c>
      <c r="E16" s="1"/>
      <c r="F16" s="1">
        <v>2</v>
      </c>
      <c r="G16" s="1">
        <v>2</v>
      </c>
      <c r="H16" s="1">
        <v>10</v>
      </c>
      <c r="I16" s="1">
        <v>30</v>
      </c>
      <c r="J16" s="1" t="s">
        <v>189</v>
      </c>
      <c r="K16" s="7">
        <v>44752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D6FCA-9C39-4724-8DB4-3548EFBA7332}">
  <sheetPr codeName="auxlot"/>
  <dimension ref="A1:N10"/>
  <sheetViews>
    <sheetView workbookViewId="0">
      <selection activeCell="I19" sqref="I19"/>
    </sheetView>
  </sheetViews>
  <sheetFormatPr baseColWidth="10" defaultRowHeight="15" x14ac:dyDescent="0.25"/>
  <sheetData>
    <row r="1" spans="1:14" x14ac:dyDescent="0.25">
      <c r="A1" t="s">
        <v>37</v>
      </c>
      <c r="B1" t="s">
        <v>38</v>
      </c>
      <c r="C1" t="s">
        <v>39</v>
      </c>
      <c r="D1" t="s">
        <v>40</v>
      </c>
      <c r="F1" t="s">
        <v>41</v>
      </c>
      <c r="G1" t="s">
        <v>42</v>
      </c>
      <c r="H1" t="s">
        <v>43</v>
      </c>
      <c r="I1" t="s">
        <v>44</v>
      </c>
      <c r="K1">
        <v>1</v>
      </c>
      <c r="L1">
        <v>0</v>
      </c>
      <c r="N1" t="s">
        <v>45</v>
      </c>
    </row>
    <row r="2" spans="1:14" x14ac:dyDescent="0.25">
      <c r="A2">
        <v>9999999999999</v>
      </c>
      <c r="C2">
        <v>0</v>
      </c>
      <c r="D2">
        <v>0</v>
      </c>
      <c r="F2">
        <v>1222</v>
      </c>
      <c r="G2" t="s">
        <v>58</v>
      </c>
      <c r="H2">
        <v>2</v>
      </c>
      <c r="I2">
        <v>2</v>
      </c>
      <c r="N2" t="s">
        <v>46</v>
      </c>
    </row>
    <row r="3" spans="1:14" x14ac:dyDescent="0.25">
      <c r="A3" t="s">
        <v>36</v>
      </c>
      <c r="B3" t="s">
        <v>56</v>
      </c>
      <c r="C3">
        <v>0</v>
      </c>
      <c r="D3">
        <v>10</v>
      </c>
      <c r="F3">
        <v>1111</v>
      </c>
      <c r="G3" t="s">
        <v>56</v>
      </c>
      <c r="H3">
        <v>5</v>
      </c>
      <c r="I3">
        <v>11</v>
      </c>
      <c r="N3" t="s">
        <v>47</v>
      </c>
    </row>
    <row r="4" spans="1:14" x14ac:dyDescent="0.25">
      <c r="A4">
        <v>1233</v>
      </c>
      <c r="B4" t="s">
        <v>56</v>
      </c>
      <c r="C4">
        <v>0</v>
      </c>
      <c r="D4">
        <v>1</v>
      </c>
      <c r="F4">
        <v>333</v>
      </c>
      <c r="G4" t="s">
        <v>56</v>
      </c>
      <c r="H4">
        <v>3</v>
      </c>
      <c r="I4">
        <v>11</v>
      </c>
      <c r="N4" t="s">
        <v>48</v>
      </c>
    </row>
    <row r="5" spans="1:14" x14ac:dyDescent="0.25">
      <c r="A5">
        <v>1222</v>
      </c>
      <c r="B5" t="s">
        <v>58</v>
      </c>
      <c r="C5">
        <v>2</v>
      </c>
      <c r="D5">
        <v>2</v>
      </c>
      <c r="F5">
        <v>23456</v>
      </c>
      <c r="G5" t="s">
        <v>56</v>
      </c>
      <c r="H5">
        <v>23</v>
      </c>
      <c r="I5">
        <v>12</v>
      </c>
      <c r="N5" t="s">
        <v>49</v>
      </c>
    </row>
    <row r="6" spans="1:14" x14ac:dyDescent="0.25">
      <c r="A6">
        <v>1111</v>
      </c>
      <c r="B6" t="s">
        <v>56</v>
      </c>
      <c r="C6">
        <v>5</v>
      </c>
      <c r="D6">
        <v>11</v>
      </c>
      <c r="F6" t="s">
        <v>189</v>
      </c>
      <c r="G6" t="s">
        <v>56</v>
      </c>
      <c r="H6">
        <v>10</v>
      </c>
      <c r="I6">
        <v>30</v>
      </c>
      <c r="N6" t="s">
        <v>50</v>
      </c>
    </row>
    <row r="7" spans="1:14" x14ac:dyDescent="0.25">
      <c r="A7">
        <v>333</v>
      </c>
      <c r="B7" t="s">
        <v>56</v>
      </c>
      <c r="C7">
        <v>3</v>
      </c>
      <c r="D7">
        <v>11</v>
      </c>
      <c r="N7" t="s">
        <v>51</v>
      </c>
    </row>
    <row r="8" spans="1:14" x14ac:dyDescent="0.25">
      <c r="A8">
        <v>23456</v>
      </c>
      <c r="B8" t="s">
        <v>56</v>
      </c>
      <c r="C8">
        <v>23</v>
      </c>
      <c r="D8">
        <v>12</v>
      </c>
      <c r="N8" t="s">
        <v>52</v>
      </c>
    </row>
    <row r="9" spans="1:14" x14ac:dyDescent="0.25">
      <c r="A9">
        <v>233223</v>
      </c>
      <c r="B9" t="s">
        <v>58</v>
      </c>
      <c r="C9">
        <v>0</v>
      </c>
      <c r="D9">
        <v>34</v>
      </c>
    </row>
    <row r="10" spans="1:14" x14ac:dyDescent="0.25">
      <c r="A10" t="s">
        <v>189</v>
      </c>
      <c r="B10" t="s">
        <v>56</v>
      </c>
      <c r="C10">
        <v>10</v>
      </c>
      <c r="D10">
        <v>30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B6C373D9-5C18-435F-A9E1-A1C4C797BDF9}">
  <ds:schemaRefs/>
</ds:datastoreItem>
</file>

<file path=customXml/itemProps2.xml><?xml version="1.0" encoding="utf-8"?>
<ds:datastoreItem xmlns:ds="http://schemas.openxmlformats.org/officeDocument/2006/customXml" ds:itemID="{0B3FED25-5644-4EAE-BE88-DEEE3C85ED26}">
  <ds:schemaRefs/>
</ds:datastoreItem>
</file>

<file path=customXml/itemProps3.xml><?xml version="1.0" encoding="utf-8"?>
<ds:datastoreItem xmlns:ds="http://schemas.openxmlformats.org/officeDocument/2006/customXml" ds:itemID="{0FDB32EB-C6F9-469E-9C83-8E6A8203D950}">
  <ds:schemaRefs/>
</ds:datastoreItem>
</file>

<file path=customXml/itemProps4.xml><?xml version="1.0" encoding="utf-8"?>
<ds:datastoreItem xmlns:ds="http://schemas.openxmlformats.org/officeDocument/2006/customXml" ds:itemID="{A5E8A946-2E34-4B8D-BA29-F03E5D076821}">
  <ds:schemaRefs/>
</ds:datastoreItem>
</file>

<file path=customXml/itemProps5.xml><?xml version="1.0" encoding="utf-8"?>
<ds:datastoreItem xmlns:ds="http://schemas.openxmlformats.org/officeDocument/2006/customXml" ds:itemID="{161F7405-3A55-4B71-B31D-2AD43BFF4BB4}">
  <ds:schemaRefs/>
</ds:datastoreItem>
</file>

<file path=customXml/itemProps6.xml><?xml version="1.0" encoding="utf-8"?>
<ds:datastoreItem xmlns:ds="http://schemas.openxmlformats.org/officeDocument/2006/customXml" ds:itemID="{1098B0BB-4EC1-4608-BB84-8F67A78728DB}">
  <ds:schemaRefs/>
</ds:datastoreItem>
</file>

<file path=customXml/itemProps7.xml><?xml version="1.0" encoding="utf-8"?>
<ds:datastoreItem xmlns:ds="http://schemas.openxmlformats.org/officeDocument/2006/customXml" ds:itemID="{5C05B7FD-00E8-497B-A968-AFEEC4C3038E}">
  <ds:schemaRefs/>
</ds:datastoreItem>
</file>

<file path=customXml/itemProps8.xml><?xml version="1.0" encoding="utf-8"?>
<ds:datastoreItem xmlns:ds="http://schemas.openxmlformats.org/officeDocument/2006/customXml" ds:itemID="{9E44042D-23B0-4137-986C-DB18EABD0E52}">
  <ds:schemaRefs/>
</ds:datastoreItem>
</file>

<file path=customXml/itemProps9.xml><?xml version="1.0" encoding="utf-8"?>
<ds:datastoreItem xmlns:ds="http://schemas.openxmlformats.org/officeDocument/2006/customXml" ds:itemID="{35BF3791-AC36-40B6-8221-B944A2B4B474}">
  <ds:schemaRefs/>
</ds:datastoreItem>
</file>

<file path=customXml/itemProps10.xml><?xml version="1.0" encoding="utf-8"?>
<ds:datastoreItem xmlns:ds="http://schemas.openxmlformats.org/officeDocument/2006/customXml" ds:itemID="{6DB34F29-A4F6-438B-8854-66DA8F4D90AB}">
  <ds:schemaRefs>
    <ds:schemaRef ds:uri="http://schemas.microsoft.com/DataMashup"/>
  </ds:schemaRefs>
</ds:datastoreItem>
</file>

<file path=customXml/itemProps11.xml><?xml version="1.0" encoding="utf-8"?>
<ds:datastoreItem xmlns:ds="http://schemas.openxmlformats.org/officeDocument/2006/customXml" ds:itemID="{A38F433D-B6A5-46F8-8E48-AD5D08F63D5C}">
  <ds:schemaRefs/>
</ds:datastoreItem>
</file>

<file path=customXml/itemProps12.xml><?xml version="1.0" encoding="utf-8"?>
<ds:datastoreItem xmlns:ds="http://schemas.openxmlformats.org/officeDocument/2006/customXml" ds:itemID="{B7976053-E576-46F4-80C3-91E082E868FA}">
  <ds:schemaRefs/>
</ds:datastoreItem>
</file>

<file path=customXml/itemProps13.xml><?xml version="1.0" encoding="utf-8"?>
<ds:datastoreItem xmlns:ds="http://schemas.openxmlformats.org/officeDocument/2006/customXml" ds:itemID="{B7674C1D-B503-4232-B999-7696EE2084FE}">
  <ds:schemaRefs/>
</ds:datastoreItem>
</file>

<file path=customXml/itemProps14.xml><?xml version="1.0" encoding="utf-8"?>
<ds:datastoreItem xmlns:ds="http://schemas.openxmlformats.org/officeDocument/2006/customXml" ds:itemID="{FBC590C9-DA43-4352-BF28-D5A5FEE2FC69}">
  <ds:schemaRefs/>
</ds:datastoreItem>
</file>

<file path=customXml/itemProps15.xml><?xml version="1.0" encoding="utf-8"?>
<ds:datastoreItem xmlns:ds="http://schemas.openxmlformats.org/officeDocument/2006/customXml" ds:itemID="{B0D08F51-EB4B-4D59-9180-63FBFCD0FCBF}">
  <ds:schemaRefs/>
</ds:datastoreItem>
</file>

<file path=customXml/itemProps16.xml><?xml version="1.0" encoding="utf-8"?>
<ds:datastoreItem xmlns:ds="http://schemas.openxmlformats.org/officeDocument/2006/customXml" ds:itemID="{3E6EC57A-8DCC-451F-95BC-1EDE91858A9C}">
  <ds:schemaRefs/>
</ds:datastoreItem>
</file>

<file path=customXml/itemProps17.xml><?xml version="1.0" encoding="utf-8"?>
<ds:datastoreItem xmlns:ds="http://schemas.openxmlformats.org/officeDocument/2006/customXml" ds:itemID="{DF1523BC-C448-4441-8608-DD985BD0E48F}">
  <ds:schemaRefs/>
</ds:datastoreItem>
</file>

<file path=customXml/itemProps18.xml><?xml version="1.0" encoding="utf-8"?>
<ds:datastoreItem xmlns:ds="http://schemas.openxmlformats.org/officeDocument/2006/customXml" ds:itemID="{2F8F1561-6CF0-462F-8796-BCEE3FC40B73}">
  <ds:schemaRefs/>
</ds:datastoreItem>
</file>

<file path=customXml/itemProps19.xml><?xml version="1.0" encoding="utf-8"?>
<ds:datastoreItem xmlns:ds="http://schemas.openxmlformats.org/officeDocument/2006/customXml" ds:itemID="{035E197F-66FB-4886-8EA9-CAB8A9DD1F86}">
  <ds:schemaRefs/>
</ds:datastoreItem>
</file>

<file path=customXml/itemProps20.xml><?xml version="1.0" encoding="utf-8"?>
<ds:datastoreItem xmlns:ds="http://schemas.openxmlformats.org/officeDocument/2006/customXml" ds:itemID="{D861D1C7-8F3B-4C54-822F-072E623298AF}">
  <ds:schemaRefs/>
</ds:datastoreItem>
</file>

<file path=customXml/itemProps21.xml><?xml version="1.0" encoding="utf-8"?>
<ds:datastoreItem xmlns:ds="http://schemas.openxmlformats.org/officeDocument/2006/customXml" ds:itemID="{3068F4AE-7D46-4918-9349-3FBDD85D29FC}">
  <ds:schemaRefs/>
</ds:datastoreItem>
</file>

<file path=customXml/itemProps22.xml><?xml version="1.0" encoding="utf-8"?>
<ds:datastoreItem xmlns:ds="http://schemas.openxmlformats.org/officeDocument/2006/customXml" ds:itemID="{31EB7792-4B18-4A1D-9E69-47250332656D}">
  <ds:schemaRefs/>
</ds:datastoreItem>
</file>

<file path=customXml/itemProps23.xml><?xml version="1.0" encoding="utf-8"?>
<ds:datastoreItem xmlns:ds="http://schemas.openxmlformats.org/officeDocument/2006/customXml" ds:itemID="{2C1B7A91-3AD1-4CB5-A800-4BC105324420}">
  <ds:schemaRefs/>
</ds:datastoreItem>
</file>

<file path=customXml/itemProps24.xml><?xml version="1.0" encoding="utf-8"?>
<ds:datastoreItem xmlns:ds="http://schemas.openxmlformats.org/officeDocument/2006/customXml" ds:itemID="{22EC1C85-2FCE-44F6-90F6-602F5335FA79}">
  <ds:schemaRefs/>
</ds:datastoreItem>
</file>

<file path=customXml/itemProps25.xml><?xml version="1.0" encoding="utf-8"?>
<ds:datastoreItem xmlns:ds="http://schemas.openxmlformats.org/officeDocument/2006/customXml" ds:itemID="{05F6E5A8-A051-4D74-BC68-6CFD53A82B5B}">
  <ds:schemaRefs/>
</ds:datastoreItem>
</file>

<file path=customXml/itemProps26.xml><?xml version="1.0" encoding="utf-8"?>
<ds:datastoreItem xmlns:ds="http://schemas.openxmlformats.org/officeDocument/2006/customXml" ds:itemID="{6BE9C1C2-B0C9-4215-8C37-F795CE45C8A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47</vt:i4>
      </vt:variant>
    </vt:vector>
  </HeadingPairs>
  <TitlesOfParts>
    <vt:vector size="58" baseType="lpstr">
      <vt:lpstr>dash Inv</vt:lpstr>
      <vt:lpstr>dash Ent</vt:lpstr>
      <vt:lpstr>dash Sal</vt:lpstr>
      <vt:lpstr>notaMov</vt:lpstr>
      <vt:lpstr>Prod</vt:lpstr>
      <vt:lpstr>Prov</vt:lpstr>
      <vt:lpstr>Suc</vt:lpstr>
      <vt:lpstr>Ars</vt:lpstr>
      <vt:lpstr>tMov</vt:lpstr>
      <vt:lpstr>hMov</vt:lpstr>
      <vt:lpstr>aux lotes</vt:lpstr>
      <vt:lpstr>aux_cols</vt:lpstr>
      <vt:lpstr>auxLotCantDisp</vt:lpstr>
      <vt:lpstr>auxLotCantDisp_r</vt:lpstr>
      <vt:lpstr>auxLotCostDisp</vt:lpstr>
      <vt:lpstr>auxLotCostDisp_r</vt:lpstr>
      <vt:lpstr>auxLotDisp</vt:lpstr>
      <vt:lpstr>auxLotDisp_r</vt:lpstr>
      <vt:lpstr>auxProdDisp</vt:lpstr>
      <vt:lpstr>auxProdDisp_r</vt:lpstr>
      <vt:lpstr>bas</vt:lpstr>
      <vt:lpstr>cantLote</vt:lpstr>
      <vt:lpstr>cantLote_r</vt:lpstr>
      <vt:lpstr>cero</vt:lpstr>
      <vt:lpstr>col_CANTIDAD</vt:lpstr>
      <vt:lpstr>col_COSTO_UNITARIO</vt:lpstr>
      <vt:lpstr>col_FECHA_CAD</vt:lpstr>
      <vt:lpstr>col_LOTE</vt:lpstr>
      <vt:lpstr>col_PRODUCTO</vt:lpstr>
      <vt:lpstr>col_UNIDAD</vt:lpstr>
      <vt:lpstr>costLote</vt:lpstr>
      <vt:lpstr>costLote_r</vt:lpstr>
      <vt:lpstr>e_CANTIDAD</vt:lpstr>
      <vt:lpstr>e_COSTO_UNITARIO</vt:lpstr>
      <vt:lpstr>e_FECHA_CAD</vt:lpstr>
      <vt:lpstr>e_LOTE</vt:lpstr>
      <vt:lpstr>e_PRODUCTO</vt:lpstr>
      <vt:lpstr>e_UNIDAD</vt:lpstr>
      <vt:lpstr>enc</vt:lpstr>
      <vt:lpstr>grl</vt:lpstr>
      <vt:lpstr>iniarea</vt:lpstr>
      <vt:lpstr>inihmov</vt:lpstr>
      <vt:lpstr>iniprod</vt:lpstr>
      <vt:lpstr>iniprov</vt:lpstr>
      <vt:lpstr>inisuc</vt:lpstr>
      <vt:lpstr>initmov</vt:lpstr>
      <vt:lpstr>nFECHA</vt:lpstr>
      <vt:lpstr>nINOUT</vt:lpstr>
      <vt:lpstr>nPROVEEDOR</vt:lpstr>
      <vt:lpstr>nSUCURSAL</vt:lpstr>
      <vt:lpstr>nTIPO_MOV</vt:lpstr>
      <vt:lpstr>penc</vt:lpstr>
      <vt:lpstr>pgrl</vt:lpstr>
      <vt:lpstr>productoLote</vt:lpstr>
      <vt:lpstr>productoLote_r</vt:lpstr>
      <vt:lpstr>unicLotes</vt:lpstr>
      <vt:lpstr>unicLotes_r</vt:lpstr>
      <vt:lpstr>uno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Fuentes</dc:creator>
  <cp:lastModifiedBy>Pablo Fuentes</cp:lastModifiedBy>
  <dcterms:created xsi:type="dcterms:W3CDTF">2022-06-11T14:56:22Z</dcterms:created>
  <dcterms:modified xsi:type="dcterms:W3CDTF">2022-07-16T16:28:02Z</dcterms:modified>
</cp:coreProperties>
</file>