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382893c4084e1c/Documentos/PROG/vba grj/inventory/inventory/"/>
    </mc:Choice>
  </mc:AlternateContent>
  <xr:revisionPtr revIDLastSave="1107" documentId="8_{8BBCC506-269C-40E0-ACC8-50211EF43220}" xr6:coauthVersionLast="47" xr6:coauthVersionMax="47" xr10:uidLastSave="{296AFCAC-B5CF-4B7F-A0B6-5C7CE7597B63}"/>
  <bookViews>
    <workbookView xWindow="1425" yWindow="1425" windowWidth="15375" windowHeight="7875" tabRatio="836" firstSheet="2" activeTab="2" xr2:uid="{D0EDAFDB-9B1C-42B7-84F5-A604B73174C5}"/>
  </bookViews>
  <sheets>
    <sheet name="dash Inv" sheetId="5" r:id="rId1"/>
    <sheet name="dash Mov" sheetId="10" r:id="rId2"/>
    <sheet name="notaMov" sheetId="3" r:id="rId3"/>
    <sheet name="Prod" sheetId="1" r:id="rId4"/>
    <sheet name="Prov" sheetId="7" r:id="rId5"/>
    <sheet name="Suc" sheetId="8" r:id="rId6"/>
    <sheet name="Ars" sheetId="6" r:id="rId7"/>
    <sheet name="tMov" sheetId="4" r:id="rId8"/>
    <sheet name="hMov" sheetId="2" r:id="rId9"/>
    <sheet name="aux lotes" sheetId="9" r:id="rId10"/>
  </sheets>
  <functionGroups builtInGroupCount="19"/>
  <definedNames>
    <definedName name="auxLotCantDisp">'aux lotes'!$H$2</definedName>
    <definedName name="auxLotCostDisp">'aux lotes'!$I$2</definedName>
    <definedName name="auxLotDisp">'aux lotes'!$F$2</definedName>
    <definedName name="auxProdDisp">'aux lotes'!$G$2</definedName>
    <definedName name="bas">notaMov!$A$9:$F$10</definedName>
    <definedName name="col_cantidad">notaMov!$D$9:$D$10</definedName>
    <definedName name="col_costo_unitario">notaMov!$F$9:$F$10</definedName>
    <definedName name="col_fecha_cad">notaMov!$E$9:$E$10</definedName>
    <definedName name="col_lote">notaMov!$C$9:$C$10</definedName>
    <definedName name="col_producto">notaMov!$A$9:$A$10</definedName>
    <definedName name="col_unidad">notaMov!$B$9:$B$10</definedName>
    <definedName name="e_cantidad">notaMov!$D$8</definedName>
    <definedName name="e_costo_unitario">notaMov!$F$8</definedName>
    <definedName name="e_fecha_cad">notaMov!$E$8</definedName>
    <definedName name="e_lote">notaMov!$C$8</definedName>
    <definedName name="e_producto">notaMov!$A$8</definedName>
    <definedName name="e_unidad">notaMov!$B$8</definedName>
    <definedName name="enc">notaMov!$A$8:$F$8</definedName>
    <definedName name="grl">notaMov!$A$2:$A$6</definedName>
    <definedName name="iniarea">ar[[#Headers],[area]]</definedName>
    <definedName name="inihmov">hmov[[#Headers],[fecha]]</definedName>
    <definedName name="iniprod">prod[[#Headers],[producto]]</definedName>
    <definedName name="iniprov">prov[[#Headers],[proveedor]]</definedName>
    <definedName name="inisuc">suc[[#Headers],[sucursal]]</definedName>
    <definedName name="initmov">tmov[[#Headers],[tipo]]</definedName>
    <definedName name="nfecha">notaMov!$B$2</definedName>
    <definedName name="ninout">notaMov!$B$6</definedName>
    <definedName name="nproveedor">notaMov!$B$4</definedName>
    <definedName name="nsucursal">notaMov!$B$3</definedName>
    <definedName name="ntipo_mov">notaMov!$B$5</definedName>
    <definedName name="penc">notaMov!$A$8</definedName>
    <definedName name="pgrl">notaMov!$A$2</definedName>
  </definedNames>
  <calcPr calcId="191029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mov_9751f634-ec00-4ede-96fd-a3595885ee1f" name="hmov" connection="Consulta - hmov"/>
          <x15:modelTable id="prod_7034fbb2-eb06-4e3f-aec3-fac7e9847096" name="prod" connection="Consulta - prod"/>
          <x15:modelTable id="prov_a98ea2fd-e3db-4d95-b261-62decb2f3f17" name="prov" connection="Consulta - prov"/>
          <x15:modelTable id="suc_87a79418-0728-4155-8892-dc7bdd3727d6" name="suc" connection="Consulta - suc"/>
          <x15:modelTable id="tmov_db33d8d4-503a-4498-98e1-db4341ae9605" name="tmov" connection="Consulta - tmov"/>
          <x15:modelTable id="area_570ff796-2aad-4bc5-8b93-df80be0c76bd" name="area" connection="Consulta - area"/>
        </x15:modelTables>
        <x15:modelRelationships>
          <x15:modelRelationship fromTable="hmov" fromColumn="idtipo" toTable="tmov" toColumn="idtipo"/>
          <x15:modelRelationship fromTable="hmov" fromColumn="idsucursal" toTable="suc" toColumn="idsucursal"/>
          <x15:modelRelationship fromTable="hmov" fromColumn="idproducto" toTable="prod" toColumn="idprod"/>
          <x15:modelRelationship fromTable="hmov" fromColumn="idproveedor" toTable="prov" toColumn="idproveedor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hmov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" l="1" a="1"/>
  <c r="H2" i="1" s="1"/>
  <c r="H3" i="1" a="1"/>
  <c r="H3" i="1" s="1"/>
  <c r="H4" i="1" a="1"/>
  <c r="H4" i="1" s="1"/>
  <c r="H5" i="1" a="1"/>
  <c r="H5" i="1" s="1"/>
  <c r="H6" i="1" a="1"/>
  <c r="H6" i="1" s="1"/>
  <c r="F6" i="1" s="1" a="1"/>
  <c r="F6" i="1" s="1"/>
  <c r="E6" i="1"/>
  <c r="E5" i="1" l="1"/>
  <c r="F5" i="1" a="1"/>
  <c r="F5" i="1" s="1"/>
  <c r="E4" i="1"/>
  <c r="F4" i="1" a="1"/>
  <c r="F4" i="1" s="1"/>
  <c r="A2" i="9" a="1"/>
  <c r="A2" i="9" s="1"/>
  <c r="F3" i="1" a="1"/>
  <c r="F3" i="1" s="1"/>
  <c r="E3" i="1"/>
  <c r="F2" i="1" a="1"/>
  <c r="F2" i="1" s="1"/>
  <c r="E2" i="1"/>
  <c r="B6" i="3"/>
  <c r="D2" i="9" l="1" a="1"/>
  <c r="D2" i="9" s="1"/>
  <c r="B2" i="9" a="1"/>
  <c r="B2" i="9" s="1"/>
  <c r="C2" i="9" a="1"/>
  <c r="C2" i="9" s="1"/>
  <c r="F2" i="9" l="1" a="1"/>
  <c r="F2" i="9" s="1"/>
  <c r="H2" i="9" s="1" a="1"/>
  <c r="H2" i="9" s="1"/>
  <c r="I2" i="9" l="1" a="1"/>
  <c r="I2" i="9" s="1"/>
  <c r="G2" i="9" a="1"/>
  <c r="G2" i="9" s="1"/>
  <c r="G6" i="1" l="1" a="1"/>
  <c r="G6" i="1" s="1"/>
  <c r="G4" i="1" a="1"/>
  <c r="G4" i="1" s="1"/>
  <c r="G5" i="1" a="1"/>
  <c r="G5" i="1" s="1"/>
  <c r="G3" i="1" a="1"/>
  <c r="G3" i="1" s="1"/>
  <c r="G2" i="1" a="1"/>
  <c r="G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BA9DAC-AF46-44E8-88BE-D21BEB0B1A75}" name="Consulta - area" description="Conexión a la consulta 'area' en el libro." type="100" refreshedVersion="8" minRefreshableVersion="5">
    <extLst>
      <ext xmlns:x15="http://schemas.microsoft.com/office/spreadsheetml/2010/11/main" uri="{DE250136-89BD-433C-8126-D09CA5730AF9}">
        <x15:connection id="7599d1e6-8099-4c99-a6ef-733e4b16725b"/>
      </ext>
    </extLst>
  </connection>
  <connection id="2" xr16:uid="{2836F233-3055-4160-BB59-2E8EB94DC5E4}" name="Consulta - hmov" description="Conexión a la consulta 'hmov' en el libro." type="100" refreshedVersion="8" minRefreshableVersion="5">
    <extLst>
      <ext xmlns:x15="http://schemas.microsoft.com/office/spreadsheetml/2010/11/main" uri="{DE250136-89BD-433C-8126-D09CA5730AF9}">
        <x15:connection id="f19c7152-6fb8-4ae9-a891-5d19b69fb43d"/>
      </ext>
    </extLst>
  </connection>
  <connection id="3" xr16:uid="{54343B45-C44B-452B-9C3F-5E1E37D6ADBC}" name="Consulta - prod" description="Conexión a la consulta 'prod' en el libro." type="100" refreshedVersion="8" minRefreshableVersion="5">
    <extLst>
      <ext xmlns:x15="http://schemas.microsoft.com/office/spreadsheetml/2010/11/main" uri="{DE250136-89BD-433C-8126-D09CA5730AF9}">
        <x15:connection id="75d43440-46bb-4f03-8722-2ebf51a69924"/>
      </ext>
    </extLst>
  </connection>
  <connection id="4" xr16:uid="{9653FD04-6A90-4FF7-9C82-5FAC6D502196}" name="Consulta - prov" description="Conexión a la consulta 'prov' en el libro." type="100" refreshedVersion="8" minRefreshableVersion="5">
    <extLst>
      <ext xmlns:x15="http://schemas.microsoft.com/office/spreadsheetml/2010/11/main" uri="{DE250136-89BD-433C-8126-D09CA5730AF9}">
        <x15:connection id="4e59f9d7-f345-4a2d-aaae-9430653cbc8d"/>
      </ext>
    </extLst>
  </connection>
  <connection id="5" xr16:uid="{F6639F0F-142B-4372-86FF-6AB2DE46A056}" name="Consulta - suc" description="Conexión a la consulta 'suc' en el libro." type="100" refreshedVersion="8" minRefreshableVersion="5">
    <extLst>
      <ext xmlns:x15="http://schemas.microsoft.com/office/spreadsheetml/2010/11/main" uri="{DE250136-89BD-433C-8126-D09CA5730AF9}">
        <x15:connection id="8d0fbb6f-465d-4cc3-9aa4-1cd2f73ca07e"/>
      </ext>
    </extLst>
  </connection>
  <connection id="6" xr16:uid="{8C2AD55F-3169-4171-AA42-966D6271F506}" name="Consulta - tmov" description="Conexión a la consulta 'tmov' en el libro." type="100" refreshedVersion="8" minRefreshableVersion="5">
    <extLst>
      <ext xmlns:x15="http://schemas.microsoft.com/office/spreadsheetml/2010/11/main" uri="{DE250136-89BD-433C-8126-D09CA5730AF9}">
        <x15:connection id="2e7afc23-7085-4612-acee-5c0d1d0a2ebf"/>
      </ext>
    </extLst>
  </connection>
  <connection id="7" xr16:uid="{487773C1-D733-4E6E-A89F-8737B8AEBA2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hmov].[col_existencias].&amp;[10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<sst xmlns="http://schemas.openxmlformats.org/spreadsheetml/2006/main" count="89" uniqueCount="59">
  <si>
    <t>producto</t>
  </si>
  <si>
    <t>unidad</t>
  </si>
  <si>
    <t>a</t>
  </si>
  <si>
    <t>b</t>
  </si>
  <si>
    <t>pz</t>
  </si>
  <si>
    <t>ml</t>
  </si>
  <si>
    <t>tipo</t>
  </si>
  <si>
    <t>compra</t>
  </si>
  <si>
    <t>merma</t>
  </si>
  <si>
    <t>inout</t>
  </si>
  <si>
    <t>venta</t>
  </si>
  <si>
    <t>idprod</t>
  </si>
  <si>
    <t>idmov</t>
  </si>
  <si>
    <t>fecha</t>
  </si>
  <si>
    <t>costo</t>
  </si>
  <si>
    <t>cantidad</t>
  </si>
  <si>
    <t>idtipo</t>
  </si>
  <si>
    <t>costo_unitario</t>
  </si>
  <si>
    <t>idproducto</t>
  </si>
  <si>
    <t>donativo</t>
  </si>
  <si>
    <t>sucursal</t>
  </si>
  <si>
    <t>area</t>
  </si>
  <si>
    <t>bh</t>
  </si>
  <si>
    <t>dos</t>
  </si>
  <si>
    <t>tres</t>
  </si>
  <si>
    <t>proveedor</t>
  </si>
  <si>
    <t>idarea</t>
  </si>
  <si>
    <t>idproveedor</t>
  </si>
  <si>
    <t>idsucursal</t>
  </si>
  <si>
    <t>lote</t>
  </si>
  <si>
    <t>uno</t>
  </si>
  <si>
    <t>medicamentos</t>
  </si>
  <si>
    <t>acme</t>
  </si>
  <si>
    <t>analisis rapidos</t>
  </si>
  <si>
    <t>tipo_mov</t>
  </si>
  <si>
    <t>existencia</t>
  </si>
  <si>
    <t>ultimo costo</t>
  </si>
  <si>
    <t>costo promedio</t>
  </si>
  <si>
    <t>ultima entrada</t>
  </si>
  <si>
    <t>fecha_cad</t>
  </si>
  <si>
    <t>c</t>
  </si>
  <si>
    <t>prueba rapida</t>
  </si>
  <si>
    <t>d</t>
  </si>
  <si>
    <t>otro</t>
  </si>
  <si>
    <t>Etiquetas de fila</t>
  </si>
  <si>
    <t>Total general</t>
  </si>
  <si>
    <t>existencias</t>
  </si>
  <si>
    <t>vida</t>
  </si>
  <si>
    <t>col_existencias</t>
  </si>
  <si>
    <t>10</t>
  </si>
  <si>
    <t>cost</t>
  </si>
  <si>
    <t>fecha (mes)</t>
  </si>
  <si>
    <t>jun</t>
  </si>
  <si>
    <t>salCant</t>
  </si>
  <si>
    <t>salFrec</t>
  </si>
  <si>
    <t>e</t>
  </si>
  <si>
    <t>botella</t>
  </si>
  <si>
    <t>nuevo</t>
  </si>
  <si>
    <t>traspaso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</si>
</sst>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\$#,##0.00;\-\$#,##0.00;\$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44" fontId="0" fillId="2" borderId="0" xfId="1" applyFont="1" applyFill="1"/>
    <xf numFmtId="14" fontId="0" fillId="2" borderId="0" xfId="0" applyNumberFormat="1" applyFill="1"/>
    <xf numFmtId="0" fontId="0" fillId="2" borderId="0" xfId="0" applyNumberFormat="1" applyFill="1"/>
    <xf numFmtId="44" fontId="0" fillId="2" borderId="0" xfId="1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23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numFmt numFmtId="34" formatCode="_-&quot;$&quot;* #,##0.00_-;\-&quot;$&quot;* #,##0.00_-;_-&quot;$&quot;* &quot;-&quot;??_-;_-@_-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eetMetadata" Target="metadata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161925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33.868341203706" backgroundQuery="1" createdVersion="8" refreshedVersion="8" minRefreshableVersion="3" recordCount="0" supportSubquery="1" supportAdvancedDrill="1" xr:uid="{D216B360-082C-4D54-8C43-5AA6B6DBFD4B}">
  <cacheSource type="external" connectionId="7"/>
  <cacheFields count="5">
    <cacheField name="[suc].[sucursal].[sucursal]" caption="sucursal" numFmtId="0" hierarchy="25" level="1">
      <sharedItems count="1">
        <s v="tres"/>
      </sharedItems>
    </cacheField>
    <cacheField name="[Measures].[salCant]" caption="salCant" numFmtId="0" hierarchy="36" level="32767"/>
    <cacheField name="[Measures].[salFrec]" caption="salFrec" numFmtId="0" hierarchy="37" level="32767"/>
    <cacheField name="[hmov].[fecha (mes)].[fecha (mes)]" caption="fecha (mes)" numFmtId="0" hierarchy="14" level="1">
      <sharedItems count="1">
        <s v="jun"/>
      </sharedItems>
    </cacheField>
    <cacheField name="[prod].[area].[area]" caption="area" numFmtId="0" hierarchy="17" level="1">
      <sharedItems count="2">
        <s v="bh"/>
        <s v="prueba rapida"/>
      </sharedItems>
    </cacheField>
  </cacheFields>
  <cacheHierarchies count="45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0" memberValueDatatype="20" unbalanced="0"/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0" memberValueDatatype="20" unbalanced="0"/>
    <cacheHierarchy uniqueName="[hmov].[fecha (mes)]" caption="fecha (mes)" attribute="1" defaultMemberUniqueName="[hmov].[fecha (mes)].[All]" allUniqueName="[hmov].[fecha (mes)].[All]" dimensionUniqueName="[hmov]" displayFolder="" count="2" memberValueDatatype="130" unbalanced="0">
      <fieldsUsage count="2">
        <fieldUsage x="-1"/>
        <fieldUsage x="3"/>
      </fieldsUsage>
    </cacheHierarchy>
    <cacheHierarchy uniqueName="[prod].[producto]" caption="producto" attribute="1" defaultMemberUniqueName="[prod].[producto].[All]" allUniqueName="[prod].[producto].[All]" dimensionUniqueName="[prod]" displayFolder="" count="0" memberValueDatatype="130" unbalanced="0"/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4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2" memberValueDatatype="130" unbalanced="0">
      <fieldsUsage count="2">
        <fieldUsage x="-1"/>
        <fieldUsage x="0"/>
      </fieldsUsage>
    </cacheHierarchy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fecha (índice de meses)]" caption="fecha (índice de meses)" attribute="1" defaultMemberUniqueName="[hmov].[fecha (índice de meses)].[All]" allUniqueName="[hmov].[fecha (índice de meses)].[All]" dimensionUniqueName="[hmov]" displayFolder="" count="0" memberValueDatatype="2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/>
    <cacheHierarchy uniqueName="[Measures].[vida]" caption="vida" measure="1" displayFolder="" measureGroup="hmov" count="0"/>
    <cacheHierarchy uniqueName="[Measures].[cost]" caption="cost" measure="1" displayFolder="" measureGroup="hmov" count="0"/>
    <cacheHierarchy uniqueName="[Measures].[salCant]" caption="salCant" measure="1" displayFolder="" measureGroup="hmov" count="0" oneField="1">
      <fieldsUsage count="1">
        <fieldUsage x="1"/>
      </fieldsUsage>
    </cacheHierarchy>
    <cacheHierarchy uniqueName="[Measures].[salFrec]" caption="salFrec" measure="1" displayFolder="" measureGroup="hmov" count="0" oneField="1">
      <fieldsUsage count="1">
        <fieldUsage x="2"/>
      </fieldsUsage>
    </cacheHierarchy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Fuentes" refreshedDate="44733.869396296293" backgroundQuery="1" createdVersion="8" refreshedVersion="8" minRefreshableVersion="3" recordCount="0" supportSubquery="1" supportAdvancedDrill="1" xr:uid="{6D5351C8-40FD-4E9A-9FC7-E22479CB9835}">
  <cacheSource type="external" connectionId="7"/>
  <cacheFields count="7">
    <cacheField name="[prod].[producto].[producto]" caption="producto" numFmtId="0" hierarchy="15" level="1">
      <sharedItems containsNonDate="0" count="2">
        <s v="a"/>
        <s v="b"/>
      </sharedItems>
    </cacheField>
    <cacheField name="[hmov].[lote].[lote]" caption="lote" numFmtId="0" hierarchy="11" level="1">
      <sharedItems containsSemiMixedTypes="0" containsNonDate="0" containsString="0" containsNumber="1" containsInteger="1" minValue="44733121" maxValue="44733122" count="2">
        <n v="44733121"/>
        <n v="44733122"/>
      </sharedItems>
      <extLst>
        <ext xmlns:x15="http://schemas.microsoft.com/office/spreadsheetml/2010/11/main" uri="{4F2E5C28-24EA-4eb8-9CBF-B6C8F9C3D259}">
          <x15:cachedUniqueNames>
            <x15:cachedUniqueName index="0" name="[hmov].[lote].&amp;[44733121]"/>
            <x15:cachedUniqueName index="1" name="[hmov].[lote].&amp;[44733122]"/>
          </x15:cachedUniqueNames>
        </ext>
      </extLst>
    </cacheField>
    <cacheField name="[Measures].[vida]" caption="vida" numFmtId="0" hierarchy="34" level="32767"/>
    <cacheField name="[hmov].[col_existencias].[col_existencias]" caption="col_existencias" numFmtId="0" hierarchy="13" level="1">
      <sharedItems containsSemiMixedTypes="0" containsNonDate="0" containsString="0"/>
    </cacheField>
    <cacheField name="[Measures].[existencias]" caption="existencias" numFmtId="0" hierarchy="33" level="32767"/>
    <cacheField name="[Measures].[cost]" caption="cost" numFmtId="0" hierarchy="35" level="32767"/>
    <cacheField name="[prod].[area].[area]" caption="area" numFmtId="0" hierarchy="17" level="1">
      <sharedItems count="1">
        <s v="bh"/>
      </sharedItems>
    </cacheField>
  </cacheFields>
  <cacheHierarchies count="45">
    <cacheHierarchy uniqueName="[area].[area]" caption="area" attribute="1" defaultMemberUniqueName="[area].[area].[All]" allUniqueName="[area].[area].[All]" dimensionUniqueName="[area]" displayFolder="" count="0" memberValueDatatype="130" unbalanced="0"/>
    <cacheHierarchy uniqueName="[area].[idarea]" caption="idarea" attribute="1" defaultMemberUniqueName="[area].[idarea].[All]" allUniqueName="[area].[idarea].[All]" dimensionUniqueName="[area]" displayFolder="" count="0" memberValueDatatype="20" unbalanced="0"/>
    <cacheHierarchy uniqueName="[hmov].[fecha]" caption="fecha" attribute="1" time="1" defaultMemberUniqueName="[hmov].[fecha].[All]" allUniqueName="[hmov].[fecha].[All]" dimensionUniqueName="[hmov]" displayFolder="" count="0" memberValueDatatype="7" unbalanced="0"/>
    <cacheHierarchy uniqueName="[hmov].[idmov]" caption="idmov" attribute="1" defaultMemberUniqueName="[hmov].[idmov].[All]" allUniqueName="[hmov].[idmov].[All]" dimensionUniqueName="[hmov]" displayFolder="" count="0" memberValueDatatype="20" unbalanced="0"/>
    <cacheHierarchy uniqueName="[hmov].[idtipo]" caption="idtipo" attribute="1" defaultMemberUniqueName="[hmov].[idtipo].[All]" allUniqueName="[hmov].[idtipo].[All]" dimensionUniqueName="[hmov]" displayFolder="" count="0" memberValueDatatype="20" unbalanced="0"/>
    <cacheHierarchy uniqueName="[hmov].[inout]" caption="inout" attribute="1" defaultMemberUniqueName="[hmov].[inout].[All]" allUniqueName="[hmov].[inout].[All]" dimensionUniqueName="[hmov]" displayFolder="" count="0" memberValueDatatype="20" unbalanced="0"/>
    <cacheHierarchy uniqueName="[hmov].[idsucursal]" caption="idsucursal" attribute="1" defaultMemberUniqueName="[hmov].[idsucursal].[All]" allUniqueName="[hmov].[idsucursal].[All]" dimensionUniqueName="[hmov]" displayFolder="" count="0" memberValueDatatype="20" unbalanced="0"/>
    <cacheHierarchy uniqueName="[hmov].[idproveedor]" caption="idproveedor" attribute="1" defaultMemberUniqueName="[hmov].[idproveedor].[All]" allUniqueName="[hmov].[idproveedor].[All]" dimensionUniqueName="[hmov]" displayFolder="" count="0" memberValueDatatype="20" unbalanced="0"/>
    <cacheHierarchy uniqueName="[hmov].[idproducto]" caption="idproducto" attribute="1" defaultMemberUniqueName="[hmov].[idproducto].[All]" allUniqueName="[hmov].[idproducto].[All]" dimensionUniqueName="[hmov]" displayFolder="" count="0" memberValueDatatype="20" unbalanced="0"/>
    <cacheHierarchy uniqueName="[hmov].[cantidad]" caption="cantidad" attribute="1" defaultMemberUniqueName="[hmov].[cantidad].[All]" allUniqueName="[hmov].[cantidad].[All]" dimensionUniqueName="[hmov]" displayFolder="" count="0" memberValueDatatype="20" unbalanced="0"/>
    <cacheHierarchy uniqueName="[hmov].[costo]" caption="costo" attribute="1" defaultMemberUniqueName="[hmov].[costo].[All]" allUniqueName="[hmov].[costo].[All]" dimensionUniqueName="[hmov]" displayFolder="" count="0" memberValueDatatype="20" unbalanced="0"/>
    <cacheHierarchy uniqueName="[hmov].[lote]" caption="lote" attribute="1" defaultMemberUniqueName="[hmov].[lote].[All]" allUniqueName="[hmov].[lote].[All]" dimensionUniqueName="[hmov]" displayFolder="" count="2" memberValueDatatype="20" unbalanced="0">
      <fieldsUsage count="2">
        <fieldUsage x="-1"/>
        <fieldUsage x="1"/>
      </fieldsUsage>
    </cacheHierarchy>
    <cacheHierarchy uniqueName="[hmov].[fecha_cad]" caption="fecha_cad" attribute="1" time="1" defaultMemberUniqueName="[hmov].[fecha_cad].[All]" allUniqueName="[hmov].[fecha_cad].[All]" dimensionUniqueName="[hmov]" displayFolder="" count="0" memberValueDatatype="7" unbalanced="0"/>
    <cacheHierarchy uniqueName="[hmov].[col_existencias]" caption="col_existencias" attribute="1" defaultMemberUniqueName="[hmov].[col_existencias].[All]" allUniqueName="[hmov].[col_existencias].[All]" dimensionUniqueName="[hmov]" displayFolder="" count="2" memberValueDatatype="20" unbalanced="0">
      <fieldsUsage count="2">
        <fieldUsage x="-1"/>
        <fieldUsage x="3"/>
      </fieldsUsage>
    </cacheHierarchy>
    <cacheHierarchy uniqueName="[hmov].[fecha (mes)]" caption="fecha (mes)" attribute="1" defaultMemberUniqueName="[hmov].[fecha (mes)].[All]" allUniqueName="[hmov].[fecha (mes)].[All]" dimensionUniqueName="[hmov]" displayFolder="" count="0" memberValueDatatype="130" unbalanced="0"/>
    <cacheHierarchy uniqueName="[prod].[producto]" caption="producto" attribute="1" defaultMemberUniqueName="[prod].[producto].[All]" allUniqueName="[prod].[producto].[All]" dimensionUniqueName="[prod]" displayFolder="" count="2" memberValueDatatype="130" unbalanced="0">
      <fieldsUsage count="2">
        <fieldUsage x="-1"/>
        <fieldUsage x="0"/>
      </fieldsUsage>
    </cacheHierarchy>
    <cacheHierarchy uniqueName="[prod].[unidad]" caption="unidad" attribute="1" defaultMemberUniqueName="[prod].[unidad].[All]" allUniqueName="[prod].[unidad].[All]" dimensionUniqueName="[prod]" displayFolder="" count="0" memberValueDatatype="130" unbalanced="0"/>
    <cacheHierarchy uniqueName="[prod].[area]" caption="area" attribute="1" defaultMemberUniqueName="[prod].[area].[All]" allUniqueName="[prod].[area].[All]" dimensionUniqueName="[prod]" displayFolder="" count="2" memberValueDatatype="130" unbalanced="0">
      <fieldsUsage count="2">
        <fieldUsage x="-1"/>
        <fieldUsage x="6"/>
      </fieldsUsage>
    </cacheHierarchy>
    <cacheHierarchy uniqueName="[prod].[idprod]" caption="idprod" attribute="1" defaultMemberUniqueName="[prod].[idprod].[All]" allUniqueName="[prod].[idprod].[All]" dimensionUniqueName="[prod]" displayFolder="" count="0" memberValueDatatype="130" unbalanced="0"/>
    <cacheHierarchy uniqueName="[prod].[existencia]" caption="existencia" attribute="1" defaultMemberUniqueName="[prod].[existencia].[All]" allUniqueName="[prod].[existencia].[All]" dimensionUniqueName="[prod]" displayFolder="" count="0" memberValueDatatype="130" unbalanced="0"/>
    <cacheHierarchy uniqueName="[prod].[ultimo costo]" caption="ultimo costo" attribute="1" defaultMemberUniqueName="[prod].[ultimo costo].[All]" allUniqueName="[prod].[ultimo costo].[All]" dimensionUniqueName="[prod]" displayFolder="" count="0" memberValueDatatype="130" unbalanced="0"/>
    <cacheHierarchy uniqueName="[prod].[costo promedio]" caption="costo promedio" attribute="1" defaultMemberUniqueName="[prod].[costo promedio].[All]" allUniqueName="[prod].[costo promedio].[All]" dimensionUniqueName="[prod]" displayFolder="" count="0" memberValueDatatype="130" unbalanced="0"/>
    <cacheHierarchy uniqueName="[prod].[ultima entrada]" caption="ultima entrada" attribute="1" defaultMemberUniqueName="[prod].[ultima entrada].[All]" allUniqueName="[prod].[ultima entrada].[All]" dimensionUniqueName="[prod]" displayFolder="" count="0" memberValueDatatype="130" unbalanced="0"/>
    <cacheHierarchy uniqueName="[prov].[proveedor]" caption="proveedor" attribute="1" defaultMemberUniqueName="[prov].[proveedor].[All]" allUniqueName="[prov].[proveedor].[All]" dimensionUniqueName="[prov]" displayFolder="" count="0" memberValueDatatype="130" unbalanced="0"/>
    <cacheHierarchy uniqueName="[prov].[idproveedor]" caption="idproveedor" attribute="1" defaultMemberUniqueName="[prov].[idproveedor].[All]" allUniqueName="[prov].[idproveedor].[All]" dimensionUniqueName="[prov]" displayFolder="" count="0" memberValueDatatype="20" unbalanced="0"/>
    <cacheHierarchy uniqueName="[suc].[sucursal]" caption="sucursal" attribute="1" defaultMemberUniqueName="[suc].[sucursal].[All]" allUniqueName="[suc].[sucursal].[All]" dimensionUniqueName="[suc]" displayFolder="" count="0" memberValueDatatype="130" unbalanced="0"/>
    <cacheHierarchy uniqueName="[suc].[idsucursal]" caption="idsucursal" attribute="1" defaultMemberUniqueName="[suc].[idsucursal].[All]" allUniqueName="[suc].[idsucursal].[All]" dimensionUniqueName="[suc]" displayFolder="" count="0" memberValueDatatype="20" unbalanced="0"/>
    <cacheHierarchy uniqueName="[tmov].[tipo]" caption="tipo" attribute="1" defaultMemberUniqueName="[tmov].[tipo].[All]" allUniqueName="[tmov].[tipo].[All]" dimensionUniqueName="[tmov]" displayFolder="" count="0" memberValueDatatype="130" unbalanced="0"/>
    <cacheHierarchy uniqueName="[tmov].[inout]" caption="inout" attribute="1" defaultMemberUniqueName="[tmov].[inout].[All]" allUniqueName="[tmov].[inout].[All]" dimensionUniqueName="[tmov]" displayFolder="" count="0" memberValueDatatype="20" unbalanced="0"/>
    <cacheHierarchy uniqueName="[tmov].[idtipo]" caption="idtipo" attribute="1" defaultMemberUniqueName="[tmov].[idtipo].[All]" allUniqueName="[tmov].[idtipo].[All]" dimensionUniqueName="[tmov]" displayFolder="" count="0" memberValueDatatype="20" unbalanced="0"/>
    <cacheHierarchy uniqueName="[hmov].[fecha (índice de meses)]" caption="fecha (índice de meses)" attribute="1" defaultMemberUniqueName="[hmov].[fecha (índice de meses)].[All]" allUniqueName="[hmov].[fecha (índice de meses)].[All]" dimensionUniqueName="[hmov]" displayFolder="" count="0" memberValueDatatype="20" unbalanced="0" hidden="1"/>
    <cacheHierarchy uniqueName="[Measures].[Recuento de existencia]" caption="Recuento de existencia" measure="1" displayFolder="" measureGroup="prod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col_existencias]" caption="Suma de col_existencias" measure="1" displayFolder="" measureGroup="hmov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existencias]" caption="existencias" measure="1" displayFolder="" measureGroup="hmov" count="0" oneField="1">
      <fieldsUsage count="1">
        <fieldUsage x="4"/>
      </fieldsUsage>
    </cacheHierarchy>
    <cacheHierarchy uniqueName="[Measures].[vida]" caption="vida" measure="1" displayFolder="" measureGroup="hmov" count="0" oneField="1">
      <fieldsUsage count="1">
        <fieldUsage x="2"/>
      </fieldsUsage>
    </cacheHierarchy>
    <cacheHierarchy uniqueName="[Measures].[cost]" caption="cost" measure="1" displayFolder="" measureGroup="hmov" count="0" oneField="1">
      <fieldsUsage count="1">
        <fieldUsage x="5"/>
      </fieldsUsage>
    </cacheHierarchy>
    <cacheHierarchy uniqueName="[Measures].[salCant]" caption="salCant" measure="1" displayFolder="" measureGroup="hmov" count="0"/>
    <cacheHierarchy uniqueName="[Measures].[salFrec]" caption="salFrec" measure="1" displayFolder="" measureGroup="hmov" count="0"/>
    <cacheHierarchy uniqueName="[Measures].[__XL_Count hmov]" caption="__XL_Count hmov" measure="1" displayFolder="" measureGroup="hmov" count="0" hidden="1"/>
    <cacheHierarchy uniqueName="[Measures].[__XL_Count prod]" caption="__XL_Count prod" measure="1" displayFolder="" measureGroup="prod" count="0" hidden="1"/>
    <cacheHierarchy uniqueName="[Measures].[__XL_Count prov]" caption="__XL_Count prov" measure="1" displayFolder="" measureGroup="prov" count="0" hidden="1"/>
    <cacheHierarchy uniqueName="[Measures].[__XL_Count suc]" caption="__XL_Count suc" measure="1" displayFolder="" measureGroup="suc" count="0" hidden="1"/>
    <cacheHierarchy uniqueName="[Measures].[__XL_Count tmov]" caption="__XL_Count tmov" measure="1" displayFolder="" measureGroup="tmov" count="0" hidden="1"/>
    <cacheHierarchy uniqueName="[Measures].[__XL_Count area]" caption="__XL_Count area" measure="1" displayFolder="" measureGroup="area" count="0" hidden="1"/>
    <cacheHierarchy uniqueName="[Measures].[__No measures defined]" caption="__No measures defined" measure="1" displayFolder="" count="0" hidden="1"/>
  </cacheHierarchies>
  <kpis count="0"/>
  <dimensions count="7">
    <dimension name="area" uniqueName="[area]" caption="area"/>
    <dimension name="hmov" uniqueName="[hmov]" caption="hmov"/>
    <dimension measure="1" name="Measures" uniqueName="[Measures]" caption="Measures"/>
    <dimension name="prod" uniqueName="[prod]" caption="prod"/>
    <dimension name="prov" uniqueName="[prov]" caption="prov"/>
    <dimension name="suc" uniqueName="[suc]" caption="suc"/>
    <dimension name="tmov" uniqueName="[tmov]" caption="tmov"/>
  </dimensions>
  <measureGroups count="6">
    <measureGroup name="area" caption="area"/>
    <measureGroup name="hmov" caption="hmov"/>
    <measureGroup name="prod" caption="prod"/>
    <measureGroup name="prov" caption="prov"/>
    <measureGroup name="suc" caption="suc"/>
    <measureGroup name="tmov" caption="tmov"/>
  </measureGroups>
  <maps count="10">
    <map measureGroup="0" dimension="0"/>
    <map measureGroup="1" dimension="1"/>
    <map measureGroup="1" dimension="3"/>
    <map measureGroup="1" dimension="4"/>
    <map measureGroup="1" dimension="5"/>
    <map measureGroup="1" dimension="6"/>
    <map measureGroup="2" dimension="3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94120D-C432-4CFC-AAFD-48EBA516BB00}" name="TablaDinámica2" cacheId="1" applyNumberFormats="0" applyBorderFormats="0" applyFontFormats="0" applyPatternFormats="0" applyAlignmentFormats="0" applyWidthHeightFormats="1" dataCaption="Valores" tag="5915428a-92dc-4960-94dc-af5010548f29" updatedVersion="8" minRefreshableVersion="3" useAutoFormatting="1" subtotalHiddenItems="1" itemPrintTitles="1" createdVersion="8" indent="0" outline="1" outlineData="1" multipleFieldFilters="0">
  <location ref="A3:D5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x="0" e="0"/>
      </items>
    </pivotField>
  </pivotFields>
  <rowFields count="3">
    <field x="6"/>
    <field x="0"/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13" name="[hmov].[col_existencias].&amp;[10]" cap="10"/>
  </pageFields>
  <dataFields count="3">
    <dataField fld="4" subtotal="count" baseField="0" baseItem="0"/>
    <dataField fld="5" subtotal="count" baseField="0" baseItem="0"/>
    <dataField fld="2" subtotal="count" baseField="0" baseItem="0"/>
  </dataFields>
  <formats count="2">
    <format dxfId="22">
      <pivotArea outline="0" collapsedLevelsAreSubtotals="1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hmov].[col_existencias].&amp;[1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5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]"/>
        <x15:activeTabTopLevelEntity name="[hmov]"/>
        <x15:activeTabTopLevelEntity name="[are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53119-608D-4D53-84E5-0B5A22C7DBCE}" name="TablaDinámica1" cacheId="0" applyNumberFormats="0" applyBorderFormats="0" applyFontFormats="0" applyPatternFormats="0" applyAlignmentFormats="0" applyWidthHeightFormats="1" dataCaption="Valores" tag="67fbd0ca-7456-4051-903b-40af6c8d93ec" updatedVersion="8" minRefreshableVersion="3" useAutoFormatting="1" itemPrintTitles="1" createdVersion="8" indent="0" compact="0" compactData="0" multipleFieldFilters="0">
  <location ref="A2:E5" firstHeaderRow="0" firstDataRow="1" firstDataCol="3"/>
  <pivotFields count="5"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2">
        <item x="0" e="0"/>
        <item x="1"/>
      </items>
    </pivotField>
  </pivotFields>
  <rowFields count="3">
    <field x="3"/>
    <field x="4"/>
    <field x="0"/>
  </rowFields>
  <rowItems count="3">
    <i>
      <x/>
      <x/>
    </i>
    <i r="1">
      <x v="1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4"/>
    <rowHierarchyUsage hierarchyUsage="17"/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]"/>
        <x15:activeTabTopLevelEntity name="[hmov]"/>
        <x15:activeTabTopLevelEntity name="[area]"/>
        <x15:activeTabTopLevelEntity name="[pro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45747-7367-427A-AAC7-505CBA012648}" name="prod" displayName="prod" ref="A1:H6" totalsRowShown="0">
  <autoFilter ref="A1:H6" xr:uid="{3B945747-7367-427A-AAC7-505CBA012648}"/>
  <tableColumns count="8">
    <tableColumn id="1" xr3:uid="{D1ED3B1A-88BF-4660-9333-2E1B49F16547}" name="producto"/>
    <tableColumn id="4" xr3:uid="{077F18B3-D03E-436C-ADDA-C6B84AD8609F}" name="unidad"/>
    <tableColumn id="7" xr3:uid="{FB6CE7D1-8029-42FC-8EFD-50CC8BB2E936}" name="area"/>
    <tableColumn id="6" xr3:uid="{3BD268D1-EF0E-4176-9856-1E4007FFDBE4}" name="idprod" dataDxfId="20"/>
    <tableColumn id="2" xr3:uid="{E40D8767-B299-4824-8759-69AB90219A0A}" name="existencia" dataDxfId="19">
      <calculatedColumnFormula>SUMIFS(hmov[cantidad],hmov[idproducto],prod[[#This Row],[idprod]],hmov[inout],1)-SUMIFS(hmov[cantidad],hmov[idproducto],prod[[#This Row],[idprod]],hmov[inout],0)</calculatedColumnFormula>
    </tableColumn>
    <tableColumn id="3" xr3:uid="{775A5429-05EE-469D-BF12-95F4BFA084EA}" name="ultimo costo" dataDxfId="18" dataCellStyle="Moneda">
      <calculatedColumnFormula array="1">IFERROR(SUM(hmov[costo]*--(hmov[idproducto]=prod[[#This Row],[idprod]])*--(hmov[fecha]=prod[[#This Row],[ultima entrada]]))/SUM(--(hmov[idproducto]=prod[[#This Row],[idprod]])*--(hmov[fecha]=prod[[#This Row],[ultima entrada]])),0)</calculatedColumnFormula>
    </tableColumn>
    <tableColumn id="5" xr3:uid="{88623E34-C2EA-4953-AD4E-7E8462F8B0A4}" name="costo promedio" dataDxfId="17" dataCellStyle="Moneda">
      <calculatedColumnFormula array="1">IFERROR(ROUND(SUM(--(_xlfn.ANCHORARRAY(auxProdDisp)=prod[[#This Row],[producto]])*_xlfn.ANCHORARRAY(auxLotCostDisp)*_xlfn.ANCHORARRAY(auxLotCantDisp))/prod[[#This Row],[existencia]],2),0)</calculatedColumnFormula>
    </tableColumn>
    <tableColumn id="8" xr3:uid="{549FE338-073F-4EBD-8D8C-081174062900}" name="ultima entrada" dataDxfId="16">
      <calculatedColumnFormula array="1">IF(LARGE(hmov[fecha]*--(hmov[idproducto]=prod[[#This Row],[idprod]])*--(hmov[inout]=1),1)=0,"",LARGE(hmov[fecha]*--(hmov[idproducto]=prod[[#This Row],[idprod]])*--(hmov[inout]=1),1))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419119-D8F6-4266-96A2-C36B2C1800E7}" name="prov" displayName="prov" ref="A1:B5" totalsRowShown="0">
  <autoFilter ref="A1:B5" xr:uid="{74419119-D8F6-4266-96A2-C36B2C1800E7}"/>
  <tableColumns count="2">
    <tableColumn id="1" xr3:uid="{AB441392-509E-457D-BC1C-F98AE59CEA69}" name="proveedor"/>
    <tableColumn id="2" xr3:uid="{CC5219C6-52C3-4D9A-983C-5A45FF275D80}" name="idproveedor" dataDxfId="1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4B3E85-BFD7-48CA-AAF6-1803BC020CDB}" name="suc" displayName="suc" ref="A1:B4" totalsRowShown="0">
  <autoFilter ref="A1:B4" xr:uid="{554B3E85-BFD7-48CA-AAF6-1803BC020CDB}"/>
  <tableColumns count="2">
    <tableColumn id="1" xr3:uid="{19759173-5F83-4587-A626-4E872A8F979A}" name="sucursal"/>
    <tableColumn id="2" xr3:uid="{3B9A8D59-E50D-41F3-B647-CE78BA4CF77B}" name="idsucursal" dataDxfId="1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AA69EC-C32D-4CB3-A62A-2015B0F2393A}" name="ar" displayName="ar" ref="A1:B3" totalsRowShown="0">
  <autoFilter ref="A1:B3" xr:uid="{35AA69EC-C32D-4CB3-A62A-2015B0F2393A}"/>
  <tableColumns count="2">
    <tableColumn id="1" xr3:uid="{A9450D9B-7A4D-4449-BFDC-175A5CE41CF4}" name="area"/>
    <tableColumn id="2" xr3:uid="{6809EBFD-1386-4B71-AE0F-87814E7A0A60}" name="idarea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135F6C-5B17-4397-B23B-CE659D44BA21}" name="tmov" displayName="tmov" ref="A1:C6" totalsRowShown="0">
  <autoFilter ref="A1:C6" xr:uid="{FF135F6C-5B17-4397-B23B-CE659D44BA21}"/>
  <tableColumns count="3">
    <tableColumn id="1" xr3:uid="{E91BAEA4-7E0B-4111-9A84-E0C22F051EAB}" name="tipo"/>
    <tableColumn id="2" xr3:uid="{550F5926-7656-4FD9-85A9-E80D30ED1D64}" name="inout"/>
    <tableColumn id="3" xr3:uid="{E28FD73B-32D3-4F7E-9EF7-97353D61553C}" name="idtipo" dataDxfId="1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1C0EDB-2083-4D68-A429-91958B4E1066}" name="hmov" displayName="hmov" ref="A1:K2" totalsRowShown="0" dataDxfId="11">
  <autoFilter ref="A1:K2" xr:uid="{871C0EDB-2083-4D68-A429-91958B4E1066}"/>
  <tableColumns count="11">
    <tableColumn id="1" xr3:uid="{9B9544CD-669A-4781-A4A2-D72DA8F92247}" name="fecha" dataDxfId="10"/>
    <tableColumn id="2" xr3:uid="{8205D17E-783C-487B-9559-9823D34C6208}" name="idmov" dataDxfId="9"/>
    <tableColumn id="3" xr3:uid="{8AF9B385-5AB1-4B05-8A15-833AFC66DA32}" name="idtipo" dataDxfId="8"/>
    <tableColumn id="4" xr3:uid="{C955AA5A-6BA6-4089-A0A3-BC75A339CFFA}" name="inout" dataDxfId="7"/>
    <tableColumn id="9" xr3:uid="{BB261342-3672-4DF6-803D-690AF9EC4A30}" name="idsucursal" dataDxfId="6"/>
    <tableColumn id="10" xr3:uid="{0BFBCF4C-D959-497F-AB46-9212EC59287B}" name="idproveedor" dataDxfId="5"/>
    <tableColumn id="5" xr3:uid="{D4298A57-8EBD-4CA7-A753-9C36D40A5E0F}" name="idproducto" dataDxfId="4"/>
    <tableColumn id="6" xr3:uid="{CB70D502-2F78-4FBA-8BFB-6E431BD5E12D}" name="cantidad" dataDxfId="3"/>
    <tableColumn id="7" xr3:uid="{DE3F597D-B42D-458E-B9B1-5553201A990B}" name="costo" dataDxfId="2"/>
    <tableColumn id="11" xr3:uid="{B3946F2C-D42F-4DE8-B57E-B72EA1838C26}" name="lote" dataDxfId="1"/>
    <tableColumn id="8" xr3:uid="{21B09C58-A40A-4AB4-819C-446B7BC20964}" name="fecha_ca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0916-D9D3-4204-BBBF-75B012ED86F7}">
  <sheetPr codeName="dash">
    <tabColor rgb="FF00B050"/>
  </sheetPr>
  <dimension ref="A1:D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0.85546875" bestFit="1" customWidth="1"/>
    <col min="3" max="3" width="7.5703125" bestFit="1" customWidth="1"/>
    <col min="4" max="4" width="6.7109375" bestFit="1" customWidth="1"/>
  </cols>
  <sheetData>
    <row r="1" spans="1:4" x14ac:dyDescent="0.25">
      <c r="A1" s="12" t="s">
        <v>48</v>
      </c>
      <c r="B1" t="s" vm="1">
        <v>49</v>
      </c>
    </row>
    <row r="3" spans="1:4" x14ac:dyDescent="0.25">
      <c r="A3" s="12" t="s">
        <v>44</v>
      </c>
      <c r="B3" s="15" t="s">
        <v>46</v>
      </c>
      <c r="C3" s="15" t="s">
        <v>50</v>
      </c>
      <c r="D3" s="15" t="s">
        <v>47</v>
      </c>
    </row>
    <row r="4" spans="1:4" x14ac:dyDescent="0.25">
      <c r="A4" s="13" t="s">
        <v>22</v>
      </c>
      <c r="B4" s="16">
        <v>10</v>
      </c>
      <c r="C4" s="17">
        <v>170</v>
      </c>
      <c r="D4" s="16">
        <v>-44723</v>
      </c>
    </row>
    <row r="5" spans="1:4" x14ac:dyDescent="0.25">
      <c r="A5" s="13" t="s">
        <v>45</v>
      </c>
      <c r="B5" s="16">
        <v>10</v>
      </c>
      <c r="C5" s="17">
        <v>170</v>
      </c>
      <c r="D5" s="16">
        <v>-44723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E445-477E-4935-96A4-54EEF5C9D7BD}">
  <sheetPr codeName="Hoja1">
    <tabColor rgb="FF00B050"/>
  </sheetPr>
  <dimension ref="A2:E5"/>
  <sheetViews>
    <sheetView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0.42578125" bestFit="1" customWidth="1"/>
    <col min="4" max="4" width="7.42578125" bestFit="1" customWidth="1"/>
    <col min="5" max="6" width="7.140625" bestFit="1" customWidth="1"/>
  </cols>
  <sheetData>
    <row r="2" spans="1:5" x14ac:dyDescent="0.25">
      <c r="A2" s="12" t="s">
        <v>51</v>
      </c>
      <c r="B2" s="12" t="s">
        <v>21</v>
      </c>
      <c r="C2" s="12" t="s">
        <v>20</v>
      </c>
      <c r="D2" t="s">
        <v>53</v>
      </c>
      <c r="E2" t="s">
        <v>54</v>
      </c>
    </row>
    <row r="3" spans="1:5" x14ac:dyDescent="0.25">
      <c r="A3" t="s">
        <v>52</v>
      </c>
      <c r="B3" t="s">
        <v>22</v>
      </c>
      <c r="D3" s="14"/>
      <c r="E3" s="14">
        <v>2</v>
      </c>
    </row>
    <row r="4" spans="1:5" x14ac:dyDescent="0.25">
      <c r="B4" t="s">
        <v>41</v>
      </c>
      <c r="C4" t="s">
        <v>24</v>
      </c>
      <c r="D4" s="14"/>
      <c r="E4" s="14">
        <v>0</v>
      </c>
    </row>
    <row r="5" spans="1:5" x14ac:dyDescent="0.25">
      <c r="A5" t="s">
        <v>45</v>
      </c>
      <c r="D5" s="14"/>
      <c r="E5" s="1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D131-21F0-4BC8-B9C4-4F79F83F9D7F}">
  <sheetPr codeName="notamov">
    <tabColor theme="8" tint="0.59999389629810485"/>
  </sheetPr>
  <dimension ref="A2:F31"/>
  <sheetViews>
    <sheetView tabSelected="1" zoomScale="70" zoomScaleNormal="70" workbookViewId="0">
      <selection activeCell="E4" sqref="E4"/>
    </sheetView>
  </sheetViews>
  <sheetFormatPr baseColWidth="10" defaultRowHeight="15" x14ac:dyDescent="0.25"/>
  <cols>
    <col min="1" max="6" width="17.7109375" customWidth="1"/>
  </cols>
  <sheetData>
    <row r="2" spans="1:6" x14ac:dyDescent="0.25">
      <c r="A2" s="4" t="s">
        <v>13</v>
      </c>
      <c r="B2" s="6">
        <v>44733</v>
      </c>
    </row>
    <row r="3" spans="1:6" x14ac:dyDescent="0.25">
      <c r="A3" s="4" t="s">
        <v>20</v>
      </c>
      <c r="B3" s="2" t="s">
        <v>24</v>
      </c>
    </row>
    <row r="4" spans="1:6" x14ac:dyDescent="0.25">
      <c r="A4" s="4" t="s">
        <v>25</v>
      </c>
      <c r="B4" s="2" t="s">
        <v>32</v>
      </c>
    </row>
    <row r="5" spans="1:6" x14ac:dyDescent="0.25">
      <c r="A5" s="4" t="s">
        <v>34</v>
      </c>
      <c r="B5" s="2" t="s">
        <v>10</v>
      </c>
    </row>
    <row r="6" spans="1:6" x14ac:dyDescent="0.25">
      <c r="A6" s="7" t="s">
        <v>9</v>
      </c>
      <c r="B6" s="5">
        <f>INDEX(tmov[inout],MATCH(ntipo_mov,tmov[tipo],0))</f>
        <v>0</v>
      </c>
    </row>
    <row r="8" spans="1:6" x14ac:dyDescent="0.25">
      <c r="A8" s="3" t="s">
        <v>0</v>
      </c>
      <c r="B8" s="3" t="s">
        <v>1</v>
      </c>
      <c r="C8" s="3" t="s">
        <v>29</v>
      </c>
      <c r="D8" s="3" t="s">
        <v>15</v>
      </c>
      <c r="E8" s="3" t="s">
        <v>39</v>
      </c>
      <c r="F8" s="3" t="s">
        <v>17</v>
      </c>
    </row>
    <row r="9" spans="1:6" x14ac:dyDescent="0.25">
      <c r="A9" s="2"/>
      <c r="B9" s="2"/>
      <c r="C9" s="2"/>
      <c r="D9" s="2"/>
      <c r="E9" s="9"/>
      <c r="F9" s="2"/>
    </row>
    <row r="10" spans="1:6" x14ac:dyDescent="0.25">
      <c r="A10" s="2"/>
      <c r="B10" s="2"/>
      <c r="C10" s="2"/>
      <c r="D10" s="2"/>
      <c r="E10" s="9"/>
      <c r="F10" s="2"/>
    </row>
    <row r="11" spans="1:6" x14ac:dyDescent="0.25">
      <c r="A11" s="2"/>
      <c r="B11" s="2"/>
      <c r="C11" s="2"/>
      <c r="D11" s="2"/>
      <c r="E11" s="9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/>
      <c r="B13" s="2"/>
      <c r="C13" s="2"/>
      <c r="D13" s="2"/>
      <c r="E13" s="2"/>
      <c r="F13" s="2"/>
    </row>
    <row r="14" spans="1:6" x14ac:dyDescent="0.25">
      <c r="A14" s="2"/>
      <c r="B14" s="2"/>
      <c r="C14" s="2"/>
      <c r="D14" s="2"/>
      <c r="E14" s="2"/>
      <c r="F14" s="2"/>
    </row>
    <row r="15" spans="1:6" x14ac:dyDescent="0.25">
      <c r="A15" s="2"/>
      <c r="B15" s="2"/>
      <c r="C15" s="2"/>
      <c r="D15" s="2"/>
      <c r="E15" s="2"/>
      <c r="F15" s="2"/>
    </row>
    <row r="16" spans="1:6" x14ac:dyDescent="0.25">
      <c r="A16" s="2"/>
      <c r="B16" s="2"/>
      <c r="C16" s="2"/>
      <c r="D16" s="2"/>
      <c r="E16" s="2"/>
      <c r="F16" s="2"/>
    </row>
    <row r="17" spans="1:6" x14ac:dyDescent="0.25">
      <c r="A17" s="2"/>
      <c r="B17" s="2"/>
      <c r="C17" s="2"/>
      <c r="D17" s="2"/>
      <c r="E17" s="2"/>
      <c r="F17" s="2"/>
    </row>
    <row r="18" spans="1:6" x14ac:dyDescent="0.25">
      <c r="A18" s="2"/>
      <c r="B18" s="2"/>
      <c r="C18" s="2"/>
      <c r="D18" s="2"/>
      <c r="E18" s="2"/>
      <c r="F18" s="2"/>
    </row>
    <row r="19" spans="1:6" x14ac:dyDescent="0.25">
      <c r="A19" s="2"/>
      <c r="B19" s="2"/>
      <c r="C19" s="2"/>
      <c r="D19" s="2"/>
      <c r="E19" s="2"/>
      <c r="F19" s="2"/>
    </row>
    <row r="20" spans="1:6" x14ac:dyDescent="0.25">
      <c r="A20" s="2"/>
      <c r="B20" s="2"/>
      <c r="C20" s="2"/>
      <c r="D20" s="2"/>
      <c r="E20" s="2"/>
      <c r="F20" s="2"/>
    </row>
    <row r="21" spans="1:6" x14ac:dyDescent="0.25">
      <c r="A21" s="2"/>
      <c r="B21" s="2"/>
      <c r="C21" s="2"/>
      <c r="D21" s="2"/>
      <c r="E21" s="2"/>
      <c r="F21" s="2"/>
    </row>
    <row r="22" spans="1:6" x14ac:dyDescent="0.25">
      <c r="A22" s="2"/>
      <c r="B22" s="2"/>
      <c r="C22" s="2"/>
      <c r="D22" s="2"/>
      <c r="E22" s="2"/>
      <c r="F22" s="2"/>
    </row>
    <row r="23" spans="1:6" x14ac:dyDescent="0.25">
      <c r="A23" s="2"/>
      <c r="B23" s="2"/>
      <c r="C23" s="2"/>
      <c r="D23" s="2"/>
      <c r="E23" s="2"/>
      <c r="F23" s="2"/>
    </row>
    <row r="24" spans="1:6" x14ac:dyDescent="0.25">
      <c r="A24" s="2"/>
      <c r="B24" s="2"/>
      <c r="C24" s="2"/>
      <c r="D24" s="2"/>
      <c r="E24" s="2"/>
      <c r="F24" s="2"/>
    </row>
    <row r="25" spans="1:6" x14ac:dyDescent="0.25">
      <c r="A25" s="2"/>
      <c r="B25" s="2"/>
      <c r="C25" s="2"/>
      <c r="D25" s="2"/>
      <c r="E25" s="2"/>
      <c r="F25" s="2"/>
    </row>
    <row r="26" spans="1:6" x14ac:dyDescent="0.25">
      <c r="A26" s="2"/>
      <c r="B26" s="2"/>
      <c r="C26" s="2"/>
      <c r="D26" s="2"/>
      <c r="E26" s="2"/>
      <c r="F26" s="2"/>
    </row>
    <row r="27" spans="1:6" x14ac:dyDescent="0.25">
      <c r="A27" s="2"/>
      <c r="B27" s="2"/>
      <c r="C27" s="2"/>
      <c r="D27" s="2"/>
      <c r="E27" s="2"/>
      <c r="F27" s="2"/>
    </row>
    <row r="28" spans="1:6" x14ac:dyDescent="0.25">
      <c r="A28" s="2"/>
      <c r="B28" s="2"/>
      <c r="C28" s="2"/>
      <c r="D28" s="2"/>
      <c r="E28" s="2"/>
      <c r="F28" s="2"/>
    </row>
    <row r="29" spans="1:6" x14ac:dyDescent="0.25">
      <c r="A29" s="2"/>
      <c r="B29" s="2"/>
      <c r="C29" s="2"/>
      <c r="D29" s="2"/>
      <c r="E29" s="2"/>
      <c r="F29" s="2"/>
    </row>
    <row r="30" spans="1:6" x14ac:dyDescent="0.25">
      <c r="A30" s="2"/>
      <c r="B30" s="2"/>
      <c r="C30" s="2"/>
      <c r="D30" s="2"/>
      <c r="E30" s="2"/>
      <c r="F30" s="2"/>
    </row>
    <row r="31" spans="1:6" x14ac:dyDescent="0.25">
      <c r="A31" s="2"/>
      <c r="B31" s="2"/>
      <c r="C31" s="2"/>
      <c r="D31" s="2"/>
      <c r="E31" s="2"/>
      <c r="F31" s="2"/>
    </row>
  </sheetData>
  <dataValidations count="12">
    <dataValidation type="decimal" allowBlank="1" showInputMessage="1" showErrorMessage="1" errorTitle="Error" error="Excede las existencias" sqref="D1:E1" xr:uid="{8774E785-F1F7-4289-B48F-531C13245F1B}">
      <formula1>0</formula1>
      <formula2>5</formula2>
    </dataValidation>
    <dataValidation type="list" allowBlank="1" showInputMessage="1" showErrorMessage="1" sqref="C12" xr:uid="{780D1A11-71F2-4268-A108-A25729435043}">
      <formula1>"44726123"</formula1>
    </dataValidation>
    <dataValidation type="list" allowBlank="1" showInputMessage="1" showErrorMessage="1" sqref="C13" xr:uid="{8A3A6774-1A60-46BD-B09B-5CAE51DCE080}">
      <formula1>"44726124"</formula1>
    </dataValidation>
    <dataValidation type="list" allowBlank="1" showInputMessage="1" showErrorMessage="1" sqref="C14" xr:uid="{CC99FDE5-29A2-4D75-A4CA-382EA0DA445B}">
      <formula1>"44726125"</formula1>
    </dataValidation>
    <dataValidation type="list" allowBlank="1" showInputMessage="1" showErrorMessage="1" sqref="C15" xr:uid="{473A889B-0EFA-49EF-87D9-BAA619B38598}">
      <formula1>"44726126"</formula1>
    </dataValidation>
    <dataValidation type="list" allowBlank="1" showInputMessage="1" showErrorMessage="1" sqref="C16" xr:uid="{CFC89F39-DB58-48A0-A132-48D9B64912C2}">
      <formula1>"44726225"</formula1>
    </dataValidation>
    <dataValidation type="list" allowBlank="1" showInputMessage="1" showErrorMessage="1" sqref="C17" xr:uid="{25121CE7-BA0A-4A89-9FD0-56DF9FF52C99}">
      <formula1>"44726226"</formula1>
    </dataValidation>
    <dataValidation type="list" allowBlank="1" showInputMessage="1" showErrorMessage="1" sqref="C18" xr:uid="{91390CCF-799C-4053-B6F2-2B169B80E254}">
      <formula1>"44726227"</formula1>
    </dataValidation>
    <dataValidation type="list" allowBlank="1" showInputMessage="1" showErrorMessage="1" sqref="C19" xr:uid="{636C19D3-015D-40AE-8A24-BBD8D42CB5C1}">
      <formula1>"44726228"</formula1>
    </dataValidation>
    <dataValidation type="list" allowBlank="1" showInputMessage="1" showErrorMessage="1" sqref="C20" xr:uid="{2C6074D6-708B-4727-8E70-64722048CF95}">
      <formula1>"44726229"</formula1>
    </dataValidation>
    <dataValidation type="list" allowBlank="1" showInputMessage="1" showErrorMessage="1" sqref="C21" xr:uid="{7600493E-B8FC-4E6A-9767-A19541D0F42F}">
      <formula1>"447262210"</formula1>
    </dataValidation>
    <dataValidation type="list" allowBlank="1" showInputMessage="1" showErrorMessage="1" sqref="A11:A31 A9:A10" xr:uid="{8804BE1B-0EAD-4D46-B744-2E953F5AA0D0}">
      <formula1>"a,b,c,d,e"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guarda">
                <anchor moveWithCells="1" sizeWithCells="1">
                  <from>
                    <xdr:col>5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580514-8AB6-4B76-A61A-89713836A47C}">
          <x14:formula1>
            <xm:f>tMov!$A$2:$A$4</xm:f>
          </x14:formula1>
          <xm:sqref>B5</xm:sqref>
        </x14:dataValidation>
        <x14:dataValidation type="list" allowBlank="1" showInputMessage="1" showErrorMessage="1" xr:uid="{ED27299D-E89B-4395-9CFD-F115125E3EA2}">
          <x14:formula1>
            <xm:f>Suc!$A$2:$A$4</xm:f>
          </x14:formula1>
          <xm:sqref>B3</xm:sqref>
        </x14:dataValidation>
        <x14:dataValidation type="list" allowBlank="1" showInputMessage="1" showErrorMessage="1" xr:uid="{A8665413-9452-4E02-9839-02E168CC1AFB}">
          <x14:formula1>
            <xm:f>Prov!$A$2:$A$3</xm:f>
          </x14:formula1>
          <xm:sqref>B4:B5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CDE11-185F-4677-A794-C07BE3BD8465}">
  <sheetPr codeName="pr">
    <tabColor theme="6" tint="0.39997558519241921"/>
  </sheetPr>
  <dimension ref="A1:H6"/>
  <sheetViews>
    <sheetView workbookViewId="0">
      <selection activeCell="C18" sqref="C17:C18"/>
    </sheetView>
  </sheetViews>
  <sheetFormatPr baseColWidth="10" defaultRowHeight="15" x14ac:dyDescent="0.25"/>
  <cols>
    <col min="1" max="8" width="15.7109375" customWidth="1"/>
  </cols>
  <sheetData>
    <row r="1" spans="1:8" x14ac:dyDescent="0.25">
      <c r="A1" t="s">
        <v>0</v>
      </c>
      <c r="B1" t="s">
        <v>1</v>
      </c>
      <c r="C1" t="s">
        <v>21</v>
      </c>
      <c r="D1" t="s">
        <v>11</v>
      </c>
      <c r="E1" t="s">
        <v>35</v>
      </c>
      <c r="F1" t="s">
        <v>36</v>
      </c>
      <c r="G1" t="s">
        <v>37</v>
      </c>
      <c r="H1" t="s">
        <v>38</v>
      </c>
    </row>
    <row r="2" spans="1:8" x14ac:dyDescent="0.25">
      <c r="A2" t="s">
        <v>2</v>
      </c>
      <c r="B2" t="s">
        <v>4</v>
      </c>
      <c r="C2" t="s">
        <v>22</v>
      </c>
      <c r="D2" s="2">
        <v>1</v>
      </c>
      <c r="E2" s="2">
        <f>SUMIFS(hmov[cantidad],hmov[idproducto],prod[[#This Row],[idprod]],hmov[inout],1)-SUMIFS(hmov[cantidad],hmov[idproducto],prod[[#This Row],[idprod]],hmov[inout],0)</f>
        <v>0</v>
      </c>
      <c r="F2" s="8" cm="1">
        <f t="array" ref="F2">IFERROR(SUM(hmov[costo]*--(hmov[idproducto]=prod[[#This Row],[idprod]])*--(hmov[fecha]=prod[[#This Row],[ultima entrada]]))/SUM(--(hmov[idproducto]=prod[[#This Row],[idprod]])*--(hmov[fecha]=prod[[#This Row],[ultima entrada]])),0)</f>
        <v>0</v>
      </c>
      <c r="G2" s="8" cm="1">
        <f t="array" ref="G2">IFERROR(ROUND(SUM(--(_xlfn.ANCHORARRAY(auxProdDisp)=prod[[#This Row],[producto]])*_xlfn.ANCHORARRAY(auxLotCostDisp)*_xlfn.ANCHORARRAY(auxLotCantDisp))/prod[[#This Row],[existencia]],2),0)</f>
        <v>0</v>
      </c>
      <c r="H2" s="9" cm="1">
        <f t="array" ref="H2">IF(LARGE(hmov[fecha]*--(hmov[idproducto]=prod[[#This Row],[idprod]])*--(hmov[inout]=1),1)=0,"",LARGE(hmov[fecha]*--(hmov[idproducto]=prod[[#This Row],[idprod]])*--(hmov[inout]=1),1))</f>
        <v>44723</v>
      </c>
    </row>
    <row r="3" spans="1:8" x14ac:dyDescent="0.25">
      <c r="A3" t="s">
        <v>3</v>
      </c>
      <c r="B3" t="s">
        <v>5</v>
      </c>
      <c r="C3" t="s">
        <v>22</v>
      </c>
      <c r="D3" s="2">
        <v>2</v>
      </c>
      <c r="E3" s="2">
        <f>SUMIFS(hmov[cantidad],hmov[idproducto],prod[[#This Row],[idprod]],hmov[inout],1)-SUMIFS(hmov[cantidad],hmov[idproducto],prod[[#This Row],[idprod]],hmov[inout],0)</f>
        <v>0</v>
      </c>
      <c r="F3" s="8" cm="1">
        <f t="array" ref="F3">IFERROR(SUM(hmov[costo]*--(hmov[idproducto]=prod[[#This Row],[idprod]])*--(hmov[fecha]=prod[[#This Row],[ultima entrada]]))/SUM(--(hmov[idproducto]=prod[[#This Row],[idprod]])*--(hmov[fecha]=prod[[#This Row],[ultima entrada]])),0)</f>
        <v>0</v>
      </c>
      <c r="G3" s="8" cm="1">
        <f t="array" ref="G3">IFERROR(ROUND(SUM(--(_xlfn.ANCHORARRAY(auxProdDisp)=prod[[#This Row],[producto]])*_xlfn.ANCHORARRAY(auxLotCostDisp)*_xlfn.ANCHORARRAY(auxLotCantDisp))/prod[[#This Row],[existencia]],2),0)</f>
        <v>0</v>
      </c>
      <c r="H3" s="9" t="str" cm="1">
        <f t="array" ref="H3">IF(LARGE(hmov[fecha]*--(hmov[idproducto]=prod[[#This Row],[idprod]])*--(hmov[inout]=1),1)=0,"",LARGE(hmov[fecha]*--(hmov[idproducto]=prod[[#This Row],[idprod]])*--(hmov[inout]=1),1))</f>
        <v/>
      </c>
    </row>
    <row r="4" spans="1:8" x14ac:dyDescent="0.25">
      <c r="A4" t="s">
        <v>40</v>
      </c>
      <c r="B4" t="s">
        <v>4</v>
      </c>
      <c r="C4" t="s">
        <v>41</v>
      </c>
      <c r="D4" s="2">
        <v>3</v>
      </c>
      <c r="E4" s="10">
        <f>SUMIFS(hmov[cantidad],hmov[idproducto],prod[[#This Row],[idprod]],hmov[inout],1)-SUMIFS(hmov[cantidad],hmov[idproducto],prod[[#This Row],[idprod]],hmov[inout],0)</f>
        <v>0</v>
      </c>
      <c r="F4" s="8" cm="1">
        <f t="array" ref="F4">IFERROR(SUM(hmov[costo]*--(hmov[idproducto]=prod[[#This Row],[idprod]])*--(hmov[fecha]=prod[[#This Row],[ultima entrada]]))/SUM(--(hmov[idproducto]=prod[[#This Row],[idprod]])*--(hmov[fecha]=prod[[#This Row],[ultima entrada]])),0)</f>
        <v>0</v>
      </c>
      <c r="G4" s="11" cm="1">
        <f t="array" ref="G4">IFERROR(ROUND(SUM(--(_xlfn.ANCHORARRAY(auxProdDisp)=prod[[#This Row],[producto]])*_xlfn.ANCHORARRAY(auxLotCostDisp)*_xlfn.ANCHORARRAY(auxLotCantDisp))/prod[[#This Row],[existencia]],2),0)</f>
        <v>0</v>
      </c>
      <c r="H4" s="9" t="str" cm="1">
        <f t="array" ref="H4">IF(LARGE(hmov[fecha]*--(hmov[idproducto]=prod[[#This Row],[idprod]])*--(hmov[inout]=1),1)=0,"",LARGE(hmov[fecha]*--(hmov[idproducto]=prod[[#This Row],[idprod]])*--(hmov[inout]=1),1))</f>
        <v/>
      </c>
    </row>
    <row r="5" spans="1:8" x14ac:dyDescent="0.25">
      <c r="A5" t="s">
        <v>42</v>
      </c>
      <c r="B5" t="s">
        <v>4</v>
      </c>
      <c r="C5" t="s">
        <v>41</v>
      </c>
      <c r="D5" s="2">
        <v>4</v>
      </c>
      <c r="E5" s="10">
        <f>SUMIFS(hmov[cantidad],hmov[idproducto],prod[[#This Row],[idprod]],hmov[inout],1)-SUMIFS(hmov[cantidad],hmov[idproducto],prod[[#This Row],[idprod]],hmov[inout],0)</f>
        <v>0</v>
      </c>
      <c r="F5" s="8" cm="1">
        <f t="array" ref="F5">IFERROR(SUM(hmov[costo]*--(hmov[idproducto]=prod[[#This Row],[idprod]])*--(hmov[fecha]=prod[[#This Row],[ultima entrada]]))/SUM(--(hmov[idproducto]=prod[[#This Row],[idprod]])*--(hmov[fecha]=prod[[#This Row],[ultima entrada]])),0)</f>
        <v>0</v>
      </c>
      <c r="G5" s="11" cm="1">
        <f t="array" ref="G5">IFERROR(ROUND(SUM(--(_xlfn.ANCHORARRAY(auxProdDisp)=prod[[#This Row],[producto]])*_xlfn.ANCHORARRAY(auxLotCostDisp)*_xlfn.ANCHORARRAY(auxLotCantDisp))/prod[[#This Row],[existencia]],2),0)</f>
        <v>0</v>
      </c>
      <c r="H5" s="9" t="str" cm="1">
        <f t="array" ref="H5">IF(LARGE(hmov[fecha]*--(hmov[idproducto]=prod[[#This Row],[idprod]])*--(hmov[inout]=1),1)=0,"",LARGE(hmov[fecha]*--(hmov[idproducto]=prod[[#This Row],[idprod]])*--(hmov[inout]=1),1))</f>
        <v/>
      </c>
    </row>
    <row r="6" spans="1:8" x14ac:dyDescent="0.25">
      <c r="A6" t="s">
        <v>55</v>
      </c>
      <c r="B6" t="s">
        <v>56</v>
      </c>
      <c r="C6" t="s">
        <v>22</v>
      </c>
      <c r="D6" s="2">
        <v>5</v>
      </c>
      <c r="E6" s="10">
        <f>SUMIFS(hmov[cantidad],hmov[idproducto],prod[[#This Row],[idprod]],hmov[inout],1)-SUMIFS(hmov[cantidad],hmov[idproducto],prod[[#This Row],[idprod]],hmov[inout],0)</f>
        <v>0</v>
      </c>
      <c r="F6" s="8" cm="1">
        <f t="array" ref="F6">IFERROR(SUM(hmov[costo]*--(hmov[idproducto]=prod[[#This Row],[idprod]])*--(hmov[fecha]=prod[[#This Row],[ultima entrada]]))/SUM(--(hmov[idproducto]=prod[[#This Row],[idprod]])*--(hmov[fecha]=prod[[#This Row],[ultima entrada]])),0)</f>
        <v>0</v>
      </c>
      <c r="G6" s="11" cm="1">
        <f t="array" ref="G6">IFERROR(ROUND(SUM(--(_xlfn.ANCHORARRAY(auxProdDisp)=prod[[#This Row],[producto]])*_xlfn.ANCHORARRAY(auxLotCostDisp)*_xlfn.ANCHORARRAY(auxLotCantDisp))/prod[[#This Row],[existencia]],2),0)</f>
        <v>0</v>
      </c>
      <c r="H6" s="9" t="str" cm="1">
        <f t="array" ref="H6">IF(LARGE(hmov[fecha]*--(hmov[idproducto]=prod[[#This Row],[idprod]])*--(hmov[inout]=1),1)=0,"",LARGE(hmov[fecha]*--(hmov[idproducto]=prod[[#This Row],[idprod]])*--(hmov[inout]=1),1))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232D-C5F2-4D8A-85F0-0CE01EDDF91E}">
  <sheetPr codeName="prov">
    <tabColor theme="6" tint="0.39997558519241921"/>
  </sheetPr>
  <dimension ref="A1:B5"/>
  <sheetViews>
    <sheetView workbookViewId="0">
      <selection activeCell="A3" sqref="A3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25</v>
      </c>
      <c r="B1" t="s">
        <v>27</v>
      </c>
    </row>
    <row r="2" spans="1:2" x14ac:dyDescent="0.25">
      <c r="A2" t="s">
        <v>31</v>
      </c>
      <c r="B2" s="2">
        <v>1</v>
      </c>
    </row>
    <row r="3" spans="1:2" x14ac:dyDescent="0.25">
      <c r="A3" t="s">
        <v>32</v>
      </c>
      <c r="B3" s="2">
        <v>2</v>
      </c>
    </row>
    <row r="4" spans="1:2" x14ac:dyDescent="0.25">
      <c r="A4" t="s">
        <v>43</v>
      </c>
      <c r="B4" s="2">
        <v>3</v>
      </c>
    </row>
    <row r="5" spans="1:2" x14ac:dyDescent="0.25">
      <c r="A5" t="s">
        <v>57</v>
      </c>
      <c r="B5" s="2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4D817-B563-4DE8-B4B9-19853C387178}">
  <sheetPr codeName="suc">
    <tabColor theme="6" tint="0.39997558519241921"/>
  </sheetPr>
  <dimension ref="A1:B4"/>
  <sheetViews>
    <sheetView workbookViewId="0">
      <selection activeCell="A4" sqref="A4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20</v>
      </c>
      <c r="B1" t="s">
        <v>28</v>
      </c>
    </row>
    <row r="2" spans="1:2" x14ac:dyDescent="0.25">
      <c r="A2" t="s">
        <v>24</v>
      </c>
      <c r="B2" s="2">
        <v>1</v>
      </c>
    </row>
    <row r="3" spans="1:2" x14ac:dyDescent="0.25">
      <c r="A3" t="s">
        <v>30</v>
      </c>
      <c r="B3" s="2">
        <v>2</v>
      </c>
    </row>
    <row r="4" spans="1:2" x14ac:dyDescent="0.25">
      <c r="A4" t="s">
        <v>23</v>
      </c>
      <c r="B4" s="2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F825-3910-4336-A200-F482D48AF2AA}">
  <sheetPr codeName="ar">
    <tabColor theme="6" tint="0.39997558519241921"/>
  </sheetPr>
  <dimension ref="A1:B3"/>
  <sheetViews>
    <sheetView workbookViewId="0">
      <selection activeCell="B3" sqref="B3"/>
    </sheetView>
  </sheetViews>
  <sheetFormatPr baseColWidth="10" defaultRowHeight="15" x14ac:dyDescent="0.25"/>
  <cols>
    <col min="1" max="2" width="15.7109375" customWidth="1"/>
  </cols>
  <sheetData>
    <row r="1" spans="1:2" x14ac:dyDescent="0.25">
      <c r="A1" t="s">
        <v>21</v>
      </c>
      <c r="B1" t="s">
        <v>26</v>
      </c>
    </row>
    <row r="2" spans="1:2" x14ac:dyDescent="0.25">
      <c r="A2" t="s">
        <v>22</v>
      </c>
      <c r="B2" s="2">
        <v>1</v>
      </c>
    </row>
    <row r="3" spans="1:2" x14ac:dyDescent="0.25">
      <c r="A3" t="s">
        <v>33</v>
      </c>
      <c r="B3" s="2">
        <v>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6268-6784-4482-928A-A6AAFC07F15F}">
  <sheetPr codeName="tipmov">
    <tabColor theme="6" tint="0.39997558519241921"/>
  </sheetPr>
  <dimension ref="A1:C6"/>
  <sheetViews>
    <sheetView workbookViewId="0">
      <selection activeCell="E16" sqref="E16"/>
    </sheetView>
  </sheetViews>
  <sheetFormatPr baseColWidth="10" defaultRowHeight="15" x14ac:dyDescent="0.25"/>
  <cols>
    <col min="1" max="3" width="15.7109375" customWidth="1"/>
  </cols>
  <sheetData>
    <row r="1" spans="1:3" x14ac:dyDescent="0.25">
      <c r="A1" t="s">
        <v>6</v>
      </c>
      <c r="B1" t="s">
        <v>9</v>
      </c>
      <c r="C1" t="s">
        <v>16</v>
      </c>
    </row>
    <row r="2" spans="1:3" x14ac:dyDescent="0.25">
      <c r="A2" t="s">
        <v>7</v>
      </c>
      <c r="B2">
        <v>1</v>
      </c>
      <c r="C2" s="2">
        <v>1</v>
      </c>
    </row>
    <row r="3" spans="1:3" x14ac:dyDescent="0.25">
      <c r="A3" t="s">
        <v>8</v>
      </c>
      <c r="B3">
        <v>0</v>
      </c>
      <c r="C3" s="2">
        <v>2</v>
      </c>
    </row>
    <row r="4" spans="1:3" x14ac:dyDescent="0.25">
      <c r="A4" t="s">
        <v>10</v>
      </c>
      <c r="B4">
        <v>0</v>
      </c>
      <c r="C4" s="2">
        <v>3</v>
      </c>
    </row>
    <row r="5" spans="1:3" x14ac:dyDescent="0.25">
      <c r="A5" t="s">
        <v>19</v>
      </c>
      <c r="B5">
        <v>0</v>
      </c>
      <c r="C5" s="2">
        <v>4</v>
      </c>
    </row>
    <row r="6" spans="1:3" x14ac:dyDescent="0.25">
      <c r="A6" t="s">
        <v>58</v>
      </c>
      <c r="B6">
        <v>1</v>
      </c>
      <c r="C6" s="2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8BCA-2D7B-4A1A-A5CD-579641745E2B}">
  <sheetPr codeName="hmov">
    <tabColor theme="5" tint="0.79998168889431442"/>
  </sheetPr>
  <dimension ref="A1:M2"/>
  <sheetViews>
    <sheetView workbookViewId="0">
      <selection activeCell="A2" sqref="A2"/>
    </sheetView>
  </sheetViews>
  <sheetFormatPr baseColWidth="10" defaultRowHeight="15" x14ac:dyDescent="0.25"/>
  <cols>
    <col min="1" max="11" width="12.7109375" customWidth="1"/>
    <col min="12" max="12" width="11.42578125" customWidth="1"/>
    <col min="13" max="13" width="11.42578125" style="1" customWidth="1"/>
  </cols>
  <sheetData>
    <row r="1" spans="1:11" x14ac:dyDescent="0.25">
      <c r="A1" t="s">
        <v>13</v>
      </c>
      <c r="B1" t="s">
        <v>12</v>
      </c>
      <c r="C1" t="s">
        <v>16</v>
      </c>
      <c r="D1" t="s">
        <v>9</v>
      </c>
      <c r="E1" t="s">
        <v>28</v>
      </c>
      <c r="F1" t="s">
        <v>27</v>
      </c>
      <c r="G1" t="s">
        <v>18</v>
      </c>
      <c r="H1" t="s">
        <v>15</v>
      </c>
      <c r="I1" t="s">
        <v>14</v>
      </c>
      <c r="J1" t="s">
        <v>29</v>
      </c>
      <c r="K1" t="s">
        <v>39</v>
      </c>
    </row>
    <row r="2" spans="1:11" x14ac:dyDescent="0.25">
      <c r="A2" s="9">
        <v>44723</v>
      </c>
      <c r="B2" s="2">
        <v>1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0</v>
      </c>
      <c r="I2" s="2">
        <v>0</v>
      </c>
      <c r="J2" s="2">
        <v>44723111</v>
      </c>
      <c r="K2" s="9">
        <v>44927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D6FCA-9C39-4724-8DB4-3548EFBA7332}">
  <sheetPr codeName="auxlot"/>
  <dimension ref="A2:I2"/>
  <sheetViews>
    <sheetView topLeftCell="B1" workbookViewId="0">
      <selection activeCell="G5" sqref="G5"/>
    </sheetView>
  </sheetViews>
  <sheetFormatPr baseColWidth="10" defaultRowHeight="15" x14ac:dyDescent="0.25"/>
  <sheetData>
    <row r="2" spans="1:9" x14ac:dyDescent="0.25">
      <c r="A2" cm="1">
        <f t="array" ref="A2">_xlfn.UNIQUE(hmov[lote])</f>
        <v>44723111</v>
      </c>
      <c r="B2" t="str" cm="1">
        <f t="array" ref="B2">INDEX(prod[producto],MATCH(INDEX(hmov[idproducto],MATCH(_xlfn.ANCHORARRAY(A2),hmov[lote],0)),prod[idprod],0))</f>
        <v>a</v>
      </c>
      <c r="C2" cm="1">
        <f t="array" ref="C2">SUMIFS(hmov[cantidad],hmov[inout],1,hmov[lote],_xlfn.ANCHORARRAY(A2))-SUMIFS(hmov[cantidad],hmov[inout],0,hmov[lote],_xlfn.ANCHORARRAY(A2))</f>
        <v>0</v>
      </c>
      <c r="D2" cm="1">
        <f t="array" ref="D2">INDEX(hmov[costo],MATCH(_xlfn.ANCHORARRAY(A2),hmov[lote],0))</f>
        <v>0</v>
      </c>
      <c r="F2" t="str" cm="1">
        <f t="array" ref="F2">_xlfn._xlws.SORT(_xlfn._xlws.FILTER(_xlfn.ANCHORARRAY(A2),_xlfn.ANCHORARRAY(C2)&gt;0,""))</f>
        <v/>
      </c>
      <c r="G2" t="str" cm="1">
        <f t="array" ref="G2">_xlfn.SORTBY(_xlfn._xlws.FILTER(_xlfn.ANCHORARRAY(B2),_xlfn.ANCHORARRAY(C2)&gt;0,""),_xlfn.ANCHORARRAY(auxLotDisp))</f>
        <v/>
      </c>
      <c r="H2" t="str" cm="1">
        <f t="array" ref="H2">_xlfn.SORTBY(_xlfn._xlws.FILTER(_xlfn.ANCHORARRAY(C2),_xlfn.ANCHORARRAY(C2)&gt;0,""),_xlfn.ANCHORARRAY(auxLotDisp))</f>
        <v/>
      </c>
      <c r="I2" t="str" cm="1">
        <f t="array" ref="I2">_xlfn.SORTBY(_xlfn._xlws.FILTER(_xlfn.ANCHORARRAY(D2),_xlfn.ANCHORARRAY(C2)&gt;0,""),_xlfn.ANCHORARRAY(auxLotDisp))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93E34183-F85B-4F94-9D92-C38144654823}">
  <ds:schemaRefs/>
</ds:datastoreItem>
</file>

<file path=customXml/itemProps2.xml><?xml version="1.0" encoding="utf-8"?>
<ds:datastoreItem xmlns:ds="http://schemas.openxmlformats.org/officeDocument/2006/customXml" ds:itemID="{22EC1C85-2FCE-44F6-90F6-602F5335FA79}">
  <ds:schemaRefs/>
</ds:datastoreItem>
</file>

<file path=customXml/itemProps3.xml><?xml version="1.0" encoding="utf-8"?>
<ds:datastoreItem xmlns:ds="http://schemas.openxmlformats.org/officeDocument/2006/customXml" ds:itemID="{31EB7792-4B18-4A1D-9E69-47250332656D}">
  <ds:schemaRefs/>
</ds:datastoreItem>
</file>

<file path=customXml/itemProps4.xml><?xml version="1.0" encoding="utf-8"?>
<ds:datastoreItem xmlns:ds="http://schemas.openxmlformats.org/officeDocument/2006/customXml" ds:itemID="{D0314557-BACD-4365-B047-7E3C88BF5639}">
  <ds:schemaRefs/>
</ds:datastoreItem>
</file>

<file path=customXml/itemProps5.xml><?xml version="1.0" encoding="utf-8"?>
<ds:datastoreItem xmlns:ds="http://schemas.openxmlformats.org/officeDocument/2006/customXml" ds:itemID="{3D614BD1-7263-4823-BA91-FEFA7CAE5DE2}">
  <ds:schemaRefs/>
</ds:datastoreItem>
</file>

<file path=customXml/itemProps6.xml><?xml version="1.0" encoding="utf-8"?>
<ds:datastoreItem xmlns:ds="http://schemas.openxmlformats.org/officeDocument/2006/customXml" ds:itemID="{DF1523BC-C448-4441-8608-DD985BD0E48F}">
  <ds:schemaRefs/>
</ds:datastoreItem>
</file>

<file path=customXml/itemProps7.xml><?xml version="1.0" encoding="utf-8"?>
<ds:datastoreItem xmlns:ds="http://schemas.openxmlformats.org/officeDocument/2006/customXml" ds:itemID="{B0D08F51-EB4B-4D59-9180-63FBFCD0FCBF}">
  <ds:schemaRefs/>
</ds:datastoreItem>
</file>

<file path=customXml/itemProps8.xml><?xml version="1.0" encoding="utf-8"?>
<ds:datastoreItem xmlns:ds="http://schemas.openxmlformats.org/officeDocument/2006/customXml" ds:itemID="{91D74B60-F05C-4145-9033-B014E732E36B}">
  <ds:schemaRefs/>
</ds:datastoreItem>
</file>

<file path=customXml/itemProps9.xml><?xml version="1.0" encoding="utf-8"?>
<ds:datastoreItem xmlns:ds="http://schemas.openxmlformats.org/officeDocument/2006/customXml" ds:itemID="{6DB34F29-A4F6-438B-8854-66DA8F4D90AB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E07DDA6B-BAC1-4AFC-849B-DB2D4A2649FF}">
  <ds:schemaRefs/>
</ds:datastoreItem>
</file>

<file path=customXml/itemProps11.xml><?xml version="1.0" encoding="utf-8"?>
<ds:datastoreItem xmlns:ds="http://schemas.openxmlformats.org/officeDocument/2006/customXml" ds:itemID="{291BB7EA-ACC5-4F6A-9594-151DE601A6FD}">
  <ds:schemaRefs/>
</ds:datastoreItem>
</file>

<file path=customXml/itemProps12.xml><?xml version="1.0" encoding="utf-8"?>
<ds:datastoreItem xmlns:ds="http://schemas.openxmlformats.org/officeDocument/2006/customXml" ds:itemID="{33913D7C-1B20-4A14-86C7-DFED5AF221FF}">
  <ds:schemaRefs/>
</ds:datastoreItem>
</file>

<file path=customXml/itemProps13.xml><?xml version="1.0" encoding="utf-8"?>
<ds:datastoreItem xmlns:ds="http://schemas.openxmlformats.org/officeDocument/2006/customXml" ds:itemID="{89D51FAE-870A-4A3A-8BB5-1E697EAFA01D}">
  <ds:schemaRefs/>
</ds:datastoreItem>
</file>

<file path=customXml/itemProps14.xml><?xml version="1.0" encoding="utf-8"?>
<ds:datastoreItem xmlns:ds="http://schemas.openxmlformats.org/officeDocument/2006/customXml" ds:itemID="{035E197F-66FB-4886-8EA9-CAB8A9DD1F86}">
  <ds:schemaRefs/>
</ds:datastoreItem>
</file>

<file path=customXml/itemProps15.xml><?xml version="1.0" encoding="utf-8"?>
<ds:datastoreItem xmlns:ds="http://schemas.openxmlformats.org/officeDocument/2006/customXml" ds:itemID="{3068F4AE-7D46-4918-9349-3FBDD85D29FC}">
  <ds:schemaRefs/>
</ds:datastoreItem>
</file>

<file path=customXml/itemProps16.xml><?xml version="1.0" encoding="utf-8"?>
<ds:datastoreItem xmlns:ds="http://schemas.openxmlformats.org/officeDocument/2006/customXml" ds:itemID="{FBC590C9-DA43-4352-BF28-D5A5FEE2FC69}">
  <ds:schemaRefs/>
</ds:datastoreItem>
</file>

<file path=customXml/itemProps17.xml><?xml version="1.0" encoding="utf-8"?>
<ds:datastoreItem xmlns:ds="http://schemas.openxmlformats.org/officeDocument/2006/customXml" ds:itemID="{AE9F2323-605E-4817-A45C-E0801FF39BAF}">
  <ds:schemaRefs/>
</ds:datastoreItem>
</file>

<file path=customXml/itemProps18.xml><?xml version="1.0" encoding="utf-8"?>
<ds:datastoreItem xmlns:ds="http://schemas.openxmlformats.org/officeDocument/2006/customXml" ds:itemID="{7EFCC557-96C0-4187-8CAE-0FD84E4254F8}">
  <ds:schemaRefs/>
</ds:datastoreItem>
</file>

<file path=customXml/itemProps19.xml><?xml version="1.0" encoding="utf-8"?>
<ds:datastoreItem xmlns:ds="http://schemas.openxmlformats.org/officeDocument/2006/customXml" ds:itemID="{D7E37436-322B-48F2-AE09-68E359496623}">
  <ds:schemaRefs/>
</ds:datastoreItem>
</file>

<file path=customXml/itemProps20.xml><?xml version="1.0" encoding="utf-8"?>
<ds:datastoreItem xmlns:ds="http://schemas.openxmlformats.org/officeDocument/2006/customXml" ds:itemID="{2022B7A9-19A5-465B-838F-48CF6EDB5F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32</vt:i4>
      </vt:variant>
    </vt:vector>
  </HeadingPairs>
  <TitlesOfParts>
    <vt:vector size="42" baseType="lpstr">
      <vt:lpstr>dash Inv</vt:lpstr>
      <vt:lpstr>dash Mov</vt:lpstr>
      <vt:lpstr>notaMov</vt:lpstr>
      <vt:lpstr>Prod</vt:lpstr>
      <vt:lpstr>Prov</vt:lpstr>
      <vt:lpstr>Suc</vt:lpstr>
      <vt:lpstr>Ars</vt:lpstr>
      <vt:lpstr>tMov</vt:lpstr>
      <vt:lpstr>hMov</vt:lpstr>
      <vt:lpstr>aux lotes</vt:lpstr>
      <vt:lpstr>auxLotCantDisp</vt:lpstr>
      <vt:lpstr>auxLotCostDisp</vt:lpstr>
      <vt:lpstr>auxLotDisp</vt:lpstr>
      <vt:lpstr>auxProdDisp</vt:lpstr>
      <vt:lpstr>bas</vt:lpstr>
      <vt:lpstr>col_cantidad</vt:lpstr>
      <vt:lpstr>col_costo_unitario</vt:lpstr>
      <vt:lpstr>col_fecha_cad</vt:lpstr>
      <vt:lpstr>col_lote</vt:lpstr>
      <vt:lpstr>col_producto</vt:lpstr>
      <vt:lpstr>col_unidad</vt:lpstr>
      <vt:lpstr>e_cantidad</vt:lpstr>
      <vt:lpstr>e_costo_unitario</vt:lpstr>
      <vt:lpstr>e_fecha_cad</vt:lpstr>
      <vt:lpstr>e_lote</vt:lpstr>
      <vt:lpstr>e_producto</vt:lpstr>
      <vt:lpstr>e_unidad</vt:lpstr>
      <vt:lpstr>enc</vt:lpstr>
      <vt:lpstr>grl</vt:lpstr>
      <vt:lpstr>iniarea</vt:lpstr>
      <vt:lpstr>inihmov</vt:lpstr>
      <vt:lpstr>iniprod</vt:lpstr>
      <vt:lpstr>iniprov</vt:lpstr>
      <vt:lpstr>inisuc</vt:lpstr>
      <vt:lpstr>initmov</vt:lpstr>
      <vt:lpstr>nfecha</vt:lpstr>
      <vt:lpstr>ninout</vt:lpstr>
      <vt:lpstr>nproveedor</vt:lpstr>
      <vt:lpstr>nsucursal</vt:lpstr>
      <vt:lpstr>ntipo_mov</vt:lpstr>
      <vt:lpstr>penc</vt:lpstr>
      <vt:lpstr>pgrl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Fuentes</dc:creator>
  <cp:lastModifiedBy>Pablo Fuentes</cp:lastModifiedBy>
  <dcterms:created xsi:type="dcterms:W3CDTF">2022-06-11T14:56:22Z</dcterms:created>
  <dcterms:modified xsi:type="dcterms:W3CDTF">2022-06-26T20:51:03Z</dcterms:modified>
</cp:coreProperties>
</file>