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2382893c4084e1c/Documentos/PROG/vba grj/inventory/inventory/"/>
    </mc:Choice>
  </mc:AlternateContent>
  <xr:revisionPtr revIDLastSave="42" documentId="14_{79B486A8-1B71-4F03-A94F-249B86E59588}" xr6:coauthVersionLast="47" xr6:coauthVersionMax="47" xr10:uidLastSave="{345ECFEA-851E-4975-8BE9-6FD1FEFB934E}"/>
  <bookViews>
    <workbookView xWindow="-120" yWindow="-120" windowWidth="20730" windowHeight="11160" tabRatio="836" xr2:uid="{D0EDAFDB-9B1C-42B7-84F5-A604B73174C5}"/>
  </bookViews>
  <sheets>
    <sheet name="dash Inv" sheetId="5" r:id="rId1"/>
    <sheet name="dash Ent" sheetId="11" r:id="rId2"/>
    <sheet name="dash Sal" sheetId="10" r:id="rId3"/>
    <sheet name="notaMov" sheetId="3" r:id="rId4"/>
    <sheet name="Prod" sheetId="1" r:id="rId5"/>
    <sheet name="Prov" sheetId="7" r:id="rId6"/>
    <sheet name="Suc" sheetId="8" r:id="rId7"/>
    <sheet name="Ars" sheetId="6" r:id="rId8"/>
    <sheet name="tMov" sheetId="4" r:id="rId9"/>
    <sheet name="hMov" sheetId="2" r:id="rId10"/>
    <sheet name="aux lotes" sheetId="9" r:id="rId11"/>
  </sheets>
  <functionGroups builtInGroupCount="19"/>
  <definedNames>
    <definedName name="aux_cols">'aux lotes'!$N$1:$N$8</definedName>
    <definedName name="auxLotCantDisp">'aux lotes'!$H$2</definedName>
    <definedName name="auxLotCantDisp_r">'aux lotes'!$H$2:$H$5</definedName>
    <definedName name="auxLotCostDisp">'aux lotes'!$I$2</definedName>
    <definedName name="auxLotCostDisp_r">'aux lotes'!$I$2:$I$5</definedName>
    <definedName name="auxLotDisp">'aux lotes'!$F$2</definedName>
    <definedName name="auxLotDisp_r">'aux lotes'!$F$2:$F$5</definedName>
    <definedName name="auxProdDisp">'aux lotes'!$G$2</definedName>
    <definedName name="auxProdDisp_r">'aux lotes'!$G$2:$G$5</definedName>
    <definedName name="bas">notaMov!$A$9:$F$10</definedName>
    <definedName name="cantLote">'aux lotes'!$C$2</definedName>
    <definedName name="cantLote_r">'aux lotes'!$C$2:$C$9</definedName>
    <definedName name="cero">'aux lotes'!$L$1</definedName>
    <definedName name="col_CANTIDAD">notaMov!$D$9:$D$10</definedName>
    <definedName name="col_COSTO_UNITARIO">notaMov!$F$9:$F$10</definedName>
    <definedName name="col_FECHA_CAD">notaMov!$E$9:$E$10</definedName>
    <definedName name="col_LOTE">notaMov!$C$9:$C$10</definedName>
    <definedName name="col_PRODUCTO">notaMov!$A$9:$A$10</definedName>
    <definedName name="col_UNIDAD">notaMov!$B$9:$B$10</definedName>
    <definedName name="costLote">'aux lotes'!$D$2</definedName>
    <definedName name="costLote_r">'aux lotes'!$D$2:$D$9</definedName>
    <definedName name="e_CANTIDAD">notaMov!$D$8</definedName>
    <definedName name="e_COSTO_UNITARIO">notaMov!$F$8</definedName>
    <definedName name="e_FECHA_CAD">notaMov!$E$8</definedName>
    <definedName name="e_LOTE">notaMov!$C$8</definedName>
    <definedName name="e_PRODUCTO">notaMov!$A$8</definedName>
    <definedName name="e_UNIDAD">notaMov!$B$8</definedName>
    <definedName name="enc">notaMov!$A$8:$F$8</definedName>
    <definedName name="grl">notaMov!$A$2:$A$6</definedName>
    <definedName name="iniarea">ar[[#Headers],[AREA]]</definedName>
    <definedName name="inihmov">hmov[[#Headers],[FECHA]]</definedName>
    <definedName name="iniprod">prod[[#Headers],[PRODUCTO]]</definedName>
    <definedName name="iniprov">prov[[#Headers],[PROVEEDOR]]</definedName>
    <definedName name="inisuc">suc[[#Headers],[SUCURSAL]]</definedName>
    <definedName name="initmov">tmov[[#Headers],[TIPO]]</definedName>
    <definedName name="nFECHA">notaMov!$B$2</definedName>
    <definedName name="nINOUT">notaMov!$B$6</definedName>
    <definedName name="nPROVEEDOR">notaMov!$B$4</definedName>
    <definedName name="nSUCURSAL">notaMov!$B$3</definedName>
    <definedName name="nTIPO_MOV">notaMov!$B$5</definedName>
    <definedName name="penc">notaMov!$A$8</definedName>
    <definedName name="pgrl">notaMov!$A$2</definedName>
    <definedName name="productoLote">'aux lotes'!$B$2</definedName>
    <definedName name="productoLote_r">'aux lotes'!$B$2:$B$9</definedName>
    <definedName name="unicLotes">'aux lotes'!$A$2</definedName>
    <definedName name="unicLotes_r">'aux lotes'!$A$2:$A$9</definedName>
    <definedName name="uno">'aux lotes'!$K$1</definedName>
  </definedNames>
  <calcPr calcId="191029"/>
  <pivotCaches>
    <pivotCache cacheId="182" r:id="rId12"/>
    <pivotCache cacheId="191" r:id="rId13"/>
    <pivotCache cacheId="203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hmov_9751f634-ec00-4ede-96fd-a3595885ee1f" name="hmov" connection="Consulta - hmov"/>
          <x15:modelTable id="prod_7034fbb2-eb06-4e3f-aec3-fac7e9847096" name="prod" connection="Consulta - prod"/>
          <x15:modelTable id="prov_a98ea2fd-e3db-4d95-b261-62decb2f3f17" name="prov" connection="Consulta - prov"/>
          <x15:modelTable id="suc_87a79418-0728-4155-8892-dc7bdd3727d6" name="suc" connection="Consulta - suc"/>
          <x15:modelTable id="tmov_db33d8d4-503a-4498-98e1-db4341ae9605" name="tmov" connection="Consulta - tmov"/>
          <x15:modelTable id="area_570ff796-2aad-4bc5-8b93-df80be0c76bd" name="area" connection="Consulta - area"/>
        </x15:modelTables>
        <x15:modelRelationships>
          <x15:modelRelationship fromTable="hmov" fromColumn="IDPROVEEDOR" toTable="prov" toColumn="IDPROVEEDOR"/>
          <x15:modelRelationship fromTable="hmov" fromColumn="IDSUCURSAL" toTable="suc" toColumn="IDSUCURSAL"/>
          <x15:modelRelationship fromTable="hmov" fromColumn="IDTIPO" toTable="tmov" toColumn="IDTIPO"/>
          <x15:modelRelationship fromTable="hmov" fromColumn="IDPRODUCTO" toTable="prod" toColumn="IDPRO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2" i="1" l="1"/>
  <c r="E3" i="1"/>
  <c r="E4" i="1"/>
  <c r="B6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BA9DAC-AF46-44E8-88BE-D21BEB0B1A75}" name="Consulta - area" description="Conexión a la consulta 'area' en el libro." type="100" refreshedVersion="8" minRefreshableVersion="5">
    <extLst>
      <ext xmlns:x15="http://schemas.microsoft.com/office/spreadsheetml/2010/11/main" uri="{DE250136-89BD-433C-8126-D09CA5730AF9}">
        <x15:connection id="7599d1e6-8099-4c99-a6ef-733e4b16725b"/>
      </ext>
    </extLst>
  </connection>
  <connection id="2" xr16:uid="{2836F233-3055-4160-BB59-2E8EB94DC5E4}" name="Consulta - hmov" description="Conexión a la consulta 'hmov' en el libro." type="100" refreshedVersion="8" minRefreshableVersion="5">
    <extLst>
      <ext xmlns:x15="http://schemas.microsoft.com/office/spreadsheetml/2010/11/main" uri="{DE250136-89BD-433C-8126-D09CA5730AF9}">
        <x15:connection id="f19c7152-6fb8-4ae9-a891-5d19b69fb43d"/>
      </ext>
    </extLst>
  </connection>
  <connection id="3" xr16:uid="{54343B45-C44B-452B-9C3F-5E1E37D6ADBC}" name="Consulta - prod" description="Conexión a la consulta 'prod' en el libro." type="100" refreshedVersion="8" minRefreshableVersion="5">
    <extLst>
      <ext xmlns:x15="http://schemas.microsoft.com/office/spreadsheetml/2010/11/main" uri="{DE250136-89BD-433C-8126-D09CA5730AF9}">
        <x15:connection id="75d43440-46bb-4f03-8722-2ebf51a69924"/>
      </ext>
    </extLst>
  </connection>
  <connection id="4" xr16:uid="{9653FD04-6A90-4FF7-9C82-5FAC6D502196}" name="Consulta - prov" description="Conexión a la consulta 'prov' en el libro." type="100" refreshedVersion="8" minRefreshableVersion="5">
    <extLst>
      <ext xmlns:x15="http://schemas.microsoft.com/office/spreadsheetml/2010/11/main" uri="{DE250136-89BD-433C-8126-D09CA5730AF9}">
        <x15:connection id="4e59f9d7-f345-4a2d-aaae-9430653cbc8d"/>
      </ext>
    </extLst>
  </connection>
  <connection id="5" xr16:uid="{F6639F0F-142B-4372-86FF-6AB2DE46A056}" name="Consulta - suc" description="Conexión a la consulta 'suc' en el libro." type="100" refreshedVersion="8" minRefreshableVersion="5">
    <extLst>
      <ext xmlns:x15="http://schemas.microsoft.com/office/spreadsheetml/2010/11/main" uri="{DE250136-89BD-433C-8126-D09CA5730AF9}">
        <x15:connection id="8d0fbb6f-465d-4cc3-9aa4-1cd2f73ca07e"/>
      </ext>
    </extLst>
  </connection>
  <connection id="6" xr16:uid="{8C2AD55F-3169-4171-AA42-966D6271F506}" name="Consulta - tmov" description="Conexión a la consulta 'tmov' en el libro." type="100" refreshedVersion="8" minRefreshableVersion="5">
    <extLst>
      <ext xmlns:x15="http://schemas.microsoft.com/office/spreadsheetml/2010/11/main" uri="{DE250136-89BD-433C-8126-D09CA5730AF9}">
        <x15:connection id="2e7afc23-7085-4612-acee-5c0d1d0a2ebf"/>
      </ext>
    </extLst>
  </connection>
  <connection id="7" xr16:uid="{487773C1-D733-4E6E-A89F-8737B8AEBA2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4">
    <s v="ThisWorkbookDataModel"/>
    <s v="{[hmov].[col_existencias].&amp;[3],[hmov].[col_existencias].&amp;[23],[hmov].[col_existencias].&amp;[39]}"/>
    <s v="{[prov].[IDPROVEEDOR].&amp;[1],[prov].[IDPROVEEDOR].&amp;[2],[prov].[IDPROVEEDOR].&amp;[3],[prov].[IDPROVEEDOR].&amp;[4]}"/>
    <s v="{[suc].[IDSUCURSAL].&amp;[1],[suc].[IDSUCURSAL].&amp;[2],[suc].[IDSUCURSAL].&amp;[3]}"/>
  </metadataStrings>
  <mdxMetadata count="3">
    <mdx n="0" f="s">
      <ms ns="1" c="0"/>
    </mdx>
    <mdx n="0" f="s">
      <ms ns="2" c="0"/>
    </mdx>
    <mdx n="0" f="s">
      <ms ns="3" c="0"/>
    </mdx>
  </mdx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<sst xmlns="http://schemas.openxmlformats.org/spreadsheetml/2006/main" count="450" uniqueCount="190">
  <si>
    <t>compra</t>
  </si>
  <si>
    <t>merma</t>
  </si>
  <si>
    <t>Total general</t>
  </si>
  <si>
    <t>col_existencias</t>
  </si>
  <si>
    <t>traspaso</t>
  </si>
  <si>
    <t>santayana</t>
  </si>
  <si>
    <t/>
  </si>
  <si>
    <t>ValorTraspaso</t>
  </si>
  <si>
    <t>CantidadTraspaso</t>
  </si>
  <si>
    <t>FrecuenciaTraspaso</t>
  </si>
  <si>
    <t>CantidadExistente</t>
  </si>
  <si>
    <t>VidaPromedio</t>
  </si>
  <si>
    <t>ValorExistente</t>
  </si>
  <si>
    <t>CantidadEntrada</t>
  </si>
  <si>
    <t>ValorEntrada</t>
  </si>
  <si>
    <t>na</t>
  </si>
  <si>
    <t>FECHA</t>
  </si>
  <si>
    <t>SUCURSAL</t>
  </si>
  <si>
    <t>PROVEEDOR</t>
  </si>
  <si>
    <t>TIPO_MOV</t>
  </si>
  <si>
    <t>INOUT</t>
  </si>
  <si>
    <t>PRODUCTO</t>
  </si>
  <si>
    <t>UNIDAD</t>
  </si>
  <si>
    <t>LOTE</t>
  </si>
  <si>
    <t>CANTIDAD</t>
  </si>
  <si>
    <t>FECHA_CAD</t>
  </si>
  <si>
    <t>COSTO_UNITARIO</t>
  </si>
  <si>
    <t>AREA</t>
  </si>
  <si>
    <t>IDPROD</t>
  </si>
  <si>
    <t>EXISTENCIA</t>
  </si>
  <si>
    <t>IDPROVEEDOR</t>
  </si>
  <si>
    <t>IDSUCURSAL</t>
  </si>
  <si>
    <t>IDAREA</t>
  </si>
  <si>
    <t>TIPO</t>
  </si>
  <si>
    <t>IDTIPO</t>
  </si>
  <si>
    <t>IDMOV</t>
  </si>
  <si>
    <t>IDPRODUCTO</t>
  </si>
  <si>
    <t>COSTO</t>
  </si>
  <si>
    <t>queso</t>
  </si>
  <si>
    <t>cerveza</t>
  </si>
  <si>
    <t>a2</t>
  </si>
  <si>
    <t>unicLotes</t>
  </si>
  <si>
    <t>productoLote</t>
  </si>
  <si>
    <t>cantLote</t>
  </si>
  <si>
    <t>costLote</t>
  </si>
  <si>
    <t>auxLotDisp</t>
  </si>
  <si>
    <t>auxProdDisp</t>
  </si>
  <si>
    <t>auxLotCantDisp</t>
  </si>
  <si>
    <t>auxLotCostDisp</t>
  </si>
  <si>
    <t>unicLotes_r</t>
  </si>
  <si>
    <t>productoLote_r</t>
  </si>
  <si>
    <t>cantLote_r</t>
  </si>
  <si>
    <t>costLote_r</t>
  </si>
  <si>
    <t>auxLotDisp_r</t>
  </si>
  <si>
    <t>auxProdDisp_r</t>
  </si>
  <si>
    <t>auxLotCantDisp_r</t>
  </si>
  <si>
    <t>auxLotCostDisp_r</t>
  </si>
  <si>
    <t>MEDIOS DE TRANSPORTE</t>
  </si>
  <si>
    <t>PAQUETE</t>
  </si>
  <si>
    <t>MICROBIOLOGIA</t>
  </si>
  <si>
    <t>TUBO ROJO</t>
  </si>
  <si>
    <t>TUBOS</t>
  </si>
  <si>
    <t>TUBO AMARILLO</t>
  </si>
  <si>
    <t>TUBO LILA</t>
  </si>
  <si>
    <t>TUBO AZUL</t>
  </si>
  <si>
    <t>FRASCO ESTERIL</t>
  </si>
  <si>
    <t>PIEZA</t>
  </si>
  <si>
    <t>SUPLEMENTOS</t>
  </si>
  <si>
    <t>ALGODÓN</t>
  </si>
  <si>
    <t>BOLSA</t>
  </si>
  <si>
    <t>HOJAS BLANCAS</t>
  </si>
  <si>
    <t>PAPELERIA</t>
  </si>
  <si>
    <t>TINTA 544</t>
  </si>
  <si>
    <t>CINTA ETIQUETADORA</t>
  </si>
  <si>
    <t>ROLLO</t>
  </si>
  <si>
    <t>BOLSA NEGRA CH</t>
  </si>
  <si>
    <t>BOLSA NEGRA G</t>
  </si>
  <si>
    <t>HOJA MEMBRETADA</t>
  </si>
  <si>
    <t>AGUA EMBOTELLADA</t>
  </si>
  <si>
    <t>LANZETAS</t>
  </si>
  <si>
    <t>APLICADORES DE ALGODÓN</t>
  </si>
  <si>
    <t>GUANTES CH</t>
  </si>
  <si>
    <t>GUANTES M</t>
  </si>
  <si>
    <t>GUANTES G</t>
  </si>
  <si>
    <t>JERINGA 3ML AZUL</t>
  </si>
  <si>
    <t>CAJA</t>
  </si>
  <si>
    <t>JERINGAS</t>
  </si>
  <si>
    <t>JERINGA 3ML NARANJA</t>
  </si>
  <si>
    <t>JERINGA 3ML NEGRA</t>
  </si>
  <si>
    <t xml:space="preserve">JERINGA 5ML </t>
  </si>
  <si>
    <t>JERINGA 10ML</t>
  </si>
  <si>
    <t xml:space="preserve">CINTA PAPEL </t>
  </si>
  <si>
    <t>CUADERNO PROFESIONAL</t>
  </si>
  <si>
    <t>CUADERNO CHICO</t>
  </si>
  <si>
    <t>RESISTOL</t>
  </si>
  <si>
    <t>MARCADORES</t>
  </si>
  <si>
    <t>CINTA GRANDE TRANS</t>
  </si>
  <si>
    <t>SHARPIE</t>
  </si>
  <si>
    <t>LAPICERA ROJA</t>
  </si>
  <si>
    <t>LAPICERA NEGRA</t>
  </si>
  <si>
    <t>LAPICERA AZUL</t>
  </si>
  <si>
    <t>AMILASA</t>
  </si>
  <si>
    <t>SPINREACT</t>
  </si>
  <si>
    <t>ALBUMINA</t>
  </si>
  <si>
    <t>TIEMPOS PROTOMBINA</t>
  </si>
  <si>
    <t>BILIS T Y D</t>
  </si>
  <si>
    <t>ACIDO URICO</t>
  </si>
  <si>
    <t>PROTEINAS TOTALES</t>
  </si>
  <si>
    <t>GLUCOSA</t>
  </si>
  <si>
    <t>ANTIGENOS BACTERIANOS</t>
  </si>
  <si>
    <t>TGP</t>
  </si>
  <si>
    <t>TGO</t>
  </si>
  <si>
    <t>UREA</t>
  </si>
  <si>
    <t>CREATININA</t>
  </si>
  <si>
    <t>TRIGLICERIDOS</t>
  </si>
  <si>
    <t>COLESTEROL</t>
  </si>
  <si>
    <t>FOSFATASA ALCALINA</t>
  </si>
  <si>
    <t>LDH</t>
  </si>
  <si>
    <t>FACTOR REUMATOIDE</t>
  </si>
  <si>
    <t>ASO</t>
  </si>
  <si>
    <t>VDRL</t>
  </si>
  <si>
    <t>PCR</t>
  </si>
  <si>
    <t>HDL</t>
  </si>
  <si>
    <t>GGT</t>
  </si>
  <si>
    <t>TPT</t>
  </si>
  <si>
    <t>DULCES</t>
  </si>
  <si>
    <t>PSA</t>
  </si>
  <si>
    <t>IMMULITE</t>
  </si>
  <si>
    <t>T4 LIBRE</t>
  </si>
  <si>
    <t>PROLACTINA</t>
  </si>
  <si>
    <t>PROGESTERONA</t>
  </si>
  <si>
    <t>T3</t>
  </si>
  <si>
    <t>TSH</t>
  </si>
  <si>
    <t>H. PYLORI</t>
  </si>
  <si>
    <t xml:space="preserve">T4  </t>
  </si>
  <si>
    <t>FUJI</t>
  </si>
  <si>
    <t>NITROGENO UREICO</t>
  </si>
  <si>
    <t>CA</t>
  </si>
  <si>
    <t>ES</t>
  </si>
  <si>
    <t>P</t>
  </si>
  <si>
    <t>LIPASA</t>
  </si>
  <si>
    <t xml:space="preserve">TP </t>
  </si>
  <si>
    <t>BILIS TOTAL</t>
  </si>
  <si>
    <t>BILIS DIRECTA</t>
  </si>
  <si>
    <t>AGAR SANGRE</t>
  </si>
  <si>
    <t>AGAR MULLER HINTON</t>
  </si>
  <si>
    <t>AGAR AZUL DE METILENO</t>
  </si>
  <si>
    <t>METHANFETAMINA</t>
  </si>
  <si>
    <t>PRUEBAS RAPIDAS</t>
  </si>
  <si>
    <t>COCAINA</t>
  </si>
  <si>
    <t>THC</t>
  </si>
  <si>
    <t>PRUEBA DE EMBARAZO</t>
  </si>
  <si>
    <t>TIRAS DE ORINA</t>
  </si>
  <si>
    <t>FRASCO</t>
  </si>
  <si>
    <t>DENGUE</t>
  </si>
  <si>
    <t>HEPATITIS A</t>
  </si>
  <si>
    <t>HEPATITIS B</t>
  </si>
  <si>
    <t>HEPATITIS C</t>
  </si>
  <si>
    <t>SIFILIS</t>
  </si>
  <si>
    <t>MULTIDROGAS 3</t>
  </si>
  <si>
    <t xml:space="preserve">INFLUENZA A Y B </t>
  </si>
  <si>
    <t>BARBITURICOS</t>
  </si>
  <si>
    <t>BENZODIASEPINAS</t>
  </si>
  <si>
    <t>RESLAB</t>
  </si>
  <si>
    <t>ERBAMEX</t>
  </si>
  <si>
    <t>TECDIAGS</t>
  </si>
  <si>
    <t>VEGALAB</t>
  </si>
  <si>
    <t>KABLA</t>
  </si>
  <si>
    <t xml:space="preserve">AUREA </t>
  </si>
  <si>
    <t>DICIPA</t>
  </si>
  <si>
    <t>FG SOLUCIONES</t>
  </si>
  <si>
    <t>NUCLEO</t>
  </si>
  <si>
    <t>CENTRO</t>
  </si>
  <si>
    <t>CAPILLA</t>
  </si>
  <si>
    <t xml:space="preserve">SAN IGNACIO </t>
  </si>
  <si>
    <t>SAN JOSE</t>
  </si>
  <si>
    <t>MEZCALA</t>
  </si>
  <si>
    <t>EMPRESAS</t>
  </si>
  <si>
    <t>COMPUTO</t>
  </si>
  <si>
    <t>QUIRURJICO</t>
  </si>
  <si>
    <t>SYSMEX BH</t>
  </si>
  <si>
    <t>ACT 5 DIFF</t>
  </si>
  <si>
    <t>MINDRAY BC3200</t>
  </si>
  <si>
    <t>PIPETAS</t>
  </si>
  <si>
    <t>ECLIPSE APEXBIO</t>
  </si>
  <si>
    <t>NIHON KOHDEN</t>
  </si>
  <si>
    <t>LIMPIEZA</t>
  </si>
  <si>
    <t>GARRAFONES</t>
  </si>
  <si>
    <t>GETEIN 1100</t>
  </si>
  <si>
    <t>(Varios elementos)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</si>
</sst>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$#,##0.00;\-\$#,##0.00;\$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14" fontId="0" fillId="2" borderId="0" xfId="0" applyNumberForma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14" fontId="0" fillId="2" borderId="0" xfId="0" applyNumberFormat="1" applyFill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pivotButton="1" applyAlignment="1">
      <alignment horizontal="left"/>
    </xf>
    <xf numFmtId="0" fontId="0" fillId="2" borderId="0" xfId="0" applyNumberFormat="1" applyFill="1"/>
    <xf numFmtId="0" fontId="1" fillId="3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58"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0" formatCode="General"/>
    </dxf>
    <dxf>
      <fill>
        <patternFill patternType="solid">
          <fgColor indexed="64"/>
          <bgColor theme="0" tint="-4.9989318521683403E-2"/>
        </patternFill>
      </fill>
    </dxf>
    <dxf>
      <alignment horizontal="left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font>
        <sz val="11"/>
      </font>
    </dxf>
    <dxf>
      <font>
        <sz val="11"/>
      </font>
    </dxf>
    <dxf>
      <font>
        <sz val="1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</xdr:row>
          <xdr:rowOff>0</xdr:rowOff>
        </xdr:from>
        <xdr:to>
          <xdr:col>5</xdr:col>
          <xdr:colOff>752475</xdr:colOff>
          <xdr:row>2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161925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49.47053402778" backgroundQuery="1" createdVersion="8" refreshedVersion="8" minRefreshableVersion="3" recordCount="0" supportSubquery="1" supportAdvancedDrill="1" xr:uid="{D216B360-082C-4D54-8C43-5AA6B6DBFD4B}">
  <cacheSource type="external" connectionId="7"/>
  <cacheFields count="7">
    <cacheField name="[Measures].[salCant]" caption="salCant" numFmtId="0" hierarchy="31" level="32767"/>
    <cacheField name="[Measures].[salFrec]" caption="salFrec" numFmtId="0" hierarchy="32" level="32767"/>
    <cacheField name="[Measures].[salCost]" caption="salCost" numFmtId="0" hierarchy="33" level="32767"/>
    <cacheField name="[prod].[PRODUCTO].[PRODUCTO]" caption="PRODUCTO" numFmtId="0" hierarchy="15" level="1">
      <sharedItems count="2">
        <s v="TUBO AMARILLO"/>
        <s v="TUBO ROJO"/>
      </sharedItems>
    </cacheField>
    <cacheField name="[prod].[AREA].[AREA]" caption="AREA" numFmtId="0" hierarchy="17" level="1">
      <sharedItems count="1">
        <s v="TUBOS"/>
      </sharedItems>
    </cacheField>
    <cacheField name="[suc].[SUCURSAL].[SUCURSAL]" caption="SUCURSAL" numFmtId="0" hierarchy="22" level="1">
      <sharedItems count="1">
        <s v="NUCLEO"/>
      </sharedItems>
    </cacheField>
    <cacheField name="[suc].[IDSUCURSAL].[IDSUCURSAL]" caption="IDSUCURSAL" numFmtId="0" hierarchy="23" level="1">
      <sharedItems containsSemiMixedTypes="0" containsNonDate="0" containsString="0"/>
    </cacheField>
  </cacheFields>
  <cacheHierarchies count="44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0" memberValueDatatype="20" unbalanced="0"/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0" memberValueDatatype="130" unbalanced="0"/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0" memberValueDatatype="20" unbalanced="0"/>
    <cacheHierarchy uniqueName="[hmov].[costolote_virtual]" caption="costolote_virtual" attribute="1" defaultMemberUniqueName="[hmov].[costolote_virtual].[All]" allUniqueName="[hmov].[costolote_virtual].[All]" dimensionUniqueName="[hmov]" displayFolder="" count="0" memberValueDatatype="20" unbalanced="0"/>
    <cacheHierarchy uniqueName="[prod].[PRODUCTO]" caption="PRODUCTO" attribute="1" defaultMemberUniqueName="[prod].[PRODUCTO].[All]" allUniqueName="[prod].[PRODUCTO].[All]" dimensionUniqueName="[prod]" displayFolder="" count="2" memberValueDatatype="130" unbalanced="0">
      <fieldsUsage count="2">
        <fieldUsage x="-1"/>
        <fieldUsage x="3"/>
      </fieldsUsage>
    </cacheHierarchy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4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0" memberValueDatatype="130" unbalanced="0"/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2" memberValueDatatype="130" unbalanced="0">
      <fieldsUsage count="2">
        <fieldUsage x="-1"/>
        <fieldUsage x="5"/>
      </fieldsUsage>
    </cacheHierarchy>
    <cacheHierarchy uniqueName="[suc].[IDSUCURSAL]" caption="IDSUCURSAL" attribute="1" defaultMemberUniqueName="[suc].[IDSUCURSAL].[All]" allUniqueName="[suc].[IDSUCURSAL].[All]" dimensionUniqueName="[suc]" displayFolder="" count="2" memberValueDatatype="20" unbalanced="0">
      <fieldsUsage count="2">
        <fieldUsage x="-1"/>
        <fieldUsage x="6"/>
      </fieldsUsage>
    </cacheHierarchy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lote_virtual]" caption="lote_virtual" attribute="1" defaultMemberUniqueName="[hmov].[lote_virtual].[All]" allUniqueName="[hmov].[lote_virtual].[All]" dimensionUniqueName="[hmov]" displayFolder="" count="0" memberValueDatatype="130" unbalanced="0" hidden="1"/>
    <cacheHierarchy uniqueName="[Measures].[existencias]" caption="existencias" measure="1" displayFolder="" measureGroup="hmov" count="0"/>
    <cacheHierarchy uniqueName="[Measures].[vida]" caption="vida" measure="1" displayFolder="" measureGroup="hmov" count="0"/>
    <cacheHierarchy uniqueName="[Measures].[cost]" caption="cost" measure="1" displayFolder="" measureGroup="hmov" count="0"/>
    <cacheHierarchy uniqueName="[Measures].[salCant]" caption="salCant" measure="1" displayFolder="" measureGroup="hmov" count="0" oneField="1">
      <fieldsUsage count="1">
        <fieldUsage x="0"/>
      </fieldsUsage>
    </cacheHierarchy>
    <cacheHierarchy uniqueName="[Measures].[salFrec]" caption="salFrec" measure="1" displayFolder="" measureGroup="hmov" count="0" oneField="1">
      <fieldsUsage count="1">
        <fieldUsage x="1"/>
      </fieldsUsage>
    </cacheHierarchy>
    <cacheHierarchy uniqueName="[Measures].[salCost]" caption="salCost" measure="1" displayFolder="" measureGroup="hmov" count="0" oneField="1">
      <fieldsUsage count="1">
        <fieldUsage x="2"/>
      </fieldsUsage>
    </cacheHierarchy>
    <cacheHierarchy uniqueName="[Measures].[entCant]" caption="entCant" measure="1" displayFolder="" measureGroup="hmov" count="0"/>
    <cacheHierarchy uniqueName="[Measures].[entCost]" caption="entCost" measure="1" displayFolder="" measureGroup="hmov" count="0"/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  <cacheHierarchy uniqueName="[Measures].[Suma de col_existencias]" caption="Suma de col_existencias" measure="1" displayFolder="" measureGroup="hmov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49.470537499998" backgroundQuery="1" createdVersion="8" refreshedVersion="8" minRefreshableVersion="3" recordCount="0" supportSubquery="1" supportAdvancedDrill="1" xr:uid="{7C87C8D9-EE2E-4CEA-8794-1DE3456E8FD6}">
  <cacheSource type="external" connectionId="7"/>
  <cacheFields count="7">
    <cacheField name="[Measures].[entCant]" caption="entCant" numFmtId="0" hierarchy="34" level="32767"/>
    <cacheField name="[Measures].[entCost]" caption="entCost" numFmtId="0" hierarchy="35" level="32767"/>
    <cacheField name="[prod].[PRODUCTO].[PRODUCTO]" caption="PRODUCTO" numFmtId="0" hierarchy="15" level="1">
      <sharedItems containsNonDate="0" count="2">
        <s v="TUBO AMARILLO"/>
        <s v="TUBO ROJO"/>
      </sharedItems>
    </cacheField>
    <cacheField name="[prod].[AREA].[AREA]" caption="AREA" numFmtId="0" hierarchy="17" level="1">
      <sharedItems containsNonDate="0" count="1">
        <s v="TUBOS"/>
      </sharedItems>
    </cacheField>
    <cacheField name="[prov].[PROVEEDOR].[PROVEEDOR]" caption="PROVEEDOR" numFmtId="0" hierarchy="20" level="1">
      <sharedItems count="2">
        <s v="RESLAB"/>
        <s v="SPINREACT"/>
      </sharedItems>
    </cacheField>
    <cacheField name="[prod].[EXISTENCIA].[EXISTENCIA]" caption="EXISTENCIA" numFmtId="0" hierarchy="19" level="1">
      <sharedItems containsSemiMixedTypes="0" containsNonDate="0" containsString="0"/>
    </cacheField>
    <cacheField name="[prov].[IDPROVEEDOR].[IDPROVEEDOR]" caption="IDPROVEEDOR" numFmtId="0" hierarchy="21" level="1">
      <sharedItems containsSemiMixedTypes="0" containsNonDate="0" containsString="0"/>
    </cacheField>
  </cacheFields>
  <cacheHierarchies count="44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0" memberValueDatatype="20" unbalanced="0"/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0" memberValueDatatype="130" unbalanced="0"/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0" memberValueDatatype="20" unbalanced="0"/>
    <cacheHierarchy uniqueName="[hmov].[costolote_virtual]" caption="costolote_virtual" attribute="1" defaultMemberUniqueName="[hmov].[costolote_virtual].[All]" allUniqueName="[hmov].[costolote_virtual].[All]" dimensionUniqueName="[hmov]" displayFolder="" count="0" memberValueDatatype="20" unbalanced="0"/>
    <cacheHierarchy uniqueName="[prod].[PRODUCTO]" caption="PRODUCTO" attribute="1" defaultMemberUniqueName="[prod].[PRODUCTO].[All]" allUniqueName="[prod].[PRODUCTO].[All]" dimensionUniqueName="[prod]" displayFolder="" count="2" memberValueDatatype="130" unbalanced="0">
      <fieldsUsage count="2">
        <fieldUsage x="-1"/>
        <fieldUsage x="2"/>
      </fieldsUsage>
    </cacheHierarchy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3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2" memberValueDatatype="130" unbalanced="0">
      <fieldsUsage count="2">
        <fieldUsage x="-1"/>
        <fieldUsage x="5"/>
      </fieldsUsage>
    </cacheHierarchy>
    <cacheHierarchy uniqueName="[prov].[PROVEEDOR]" caption="PROVEEDOR" attribute="1" defaultMemberUniqueName="[prov].[PROVEEDOR].[All]" allUniqueName="[prov].[PROVEEDOR].[All]" dimensionUniqueName="[prov]" displayFolder="" count="2" memberValueDatatype="130" unbalanced="0">
      <fieldsUsage count="2">
        <fieldUsage x="-1"/>
        <fieldUsage x="4"/>
      </fieldsUsage>
    </cacheHierarchy>
    <cacheHierarchy uniqueName="[prov].[IDPROVEEDOR]" caption="IDPROVEEDOR" attribute="1" defaultMemberUniqueName="[prov].[IDPROVEEDOR].[All]" allUniqueName="[prov].[IDPROVEEDOR].[All]" dimensionUniqueName="[prov]" displayFolder="" count="2" memberValueDatatype="20" unbalanced="0">
      <fieldsUsage count="2">
        <fieldUsage x="-1"/>
        <fieldUsage x="6"/>
      </fieldsUsage>
    </cacheHierarchy>
    <cacheHierarchy uniqueName="[suc].[SUCURSAL]" caption="SUCURSAL" attribute="1" defaultMemberUniqueName="[suc].[SUCURSAL].[All]" allUniqueName="[suc].[SUCURSAL].[All]" dimensionUniqueName="[suc]" displayFolder="" count="0" memberValueDatatype="130" unbalanced="0"/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lote_virtual]" caption="lote_virtual" attribute="1" defaultMemberUniqueName="[hmov].[lote_virtual].[All]" allUniqueName="[hmov].[lote_virtual].[All]" dimensionUniqueName="[hmov]" displayFolder="" count="0" memberValueDatatype="130" unbalanced="0" hidden="1"/>
    <cacheHierarchy uniqueName="[Measures].[existencias]" caption="existencias" measure="1" displayFolder="" measureGroup="hmov" count="0"/>
    <cacheHierarchy uniqueName="[Measures].[vida]" caption="vida" measure="1" displayFolder="" measureGroup="hmov" count="0"/>
    <cacheHierarchy uniqueName="[Measures].[cost]" caption="cost" measure="1" displayFolder="" measureGroup="hmov" count="0"/>
    <cacheHierarchy uniqueName="[Measures].[salCant]" caption="salCant" measure="1" displayFolder="" measureGroup="hmov" count="0"/>
    <cacheHierarchy uniqueName="[Measures].[salFrec]" caption="salFrec" measure="1" displayFolder="" measureGroup="hmov" count="0"/>
    <cacheHierarchy uniqueName="[Measures].[salCost]" caption="salCost" measure="1" displayFolder="" measureGroup="hmov" count="0"/>
    <cacheHierarchy uniqueName="[Measures].[entCant]" caption="entCant" measure="1" displayFolder="" measureGroup="hmov" count="0" oneField="1">
      <fieldsUsage count="1">
        <fieldUsage x="0"/>
      </fieldsUsage>
    </cacheHierarchy>
    <cacheHierarchy uniqueName="[Measures].[entCost]" caption="entCost" measure="1" displayFolder="" measureGroup="hmov" count="0" oneField="1">
      <fieldsUsage count="1">
        <fieldUsage x="1"/>
      </fieldsUsage>
    </cacheHierarchy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  <cacheHierarchy uniqueName="[Measures].[Suma de col_existencias]" caption="Suma de col_existencias" measure="1" displayFolder="" measureGroup="hmov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49.470541435185" backgroundQuery="1" createdVersion="8" refreshedVersion="8" minRefreshableVersion="3" recordCount="0" supportSubquery="1" supportAdvancedDrill="1" xr:uid="{6D5351C8-40FD-4E9A-9FC7-E22479CB9835}">
  <cacheSource type="external" connectionId="7"/>
  <cacheFields count="7">
    <cacheField name="[Measures].[vida]" caption="vida" numFmtId="0" hierarchy="29" level="32767"/>
    <cacheField name="[hmov].[col_existencias].[col_existencias]" caption="col_existencias" numFmtId="0" hierarchy="13" level="1">
      <sharedItems containsSemiMixedTypes="0" containsNonDate="0" containsString="0"/>
    </cacheField>
    <cacheField name="[Measures].[cost]" caption="cost" numFmtId="0" hierarchy="30" level="32767"/>
    <cacheField name="[Measures].[existencias]" caption="existencias" numFmtId="0" hierarchy="28" level="32767"/>
    <cacheField name="[prod].[PRODUCTO].[PRODUCTO]" caption="PRODUCTO" numFmtId="0" hierarchy="15" level="1">
      <sharedItems containsNonDate="0" count="1">
        <s v="TUBO ROJO"/>
      </sharedItems>
    </cacheField>
    <cacheField name="[prod].[AREA].[AREA]" caption="AREA" numFmtId="0" hierarchy="17" level="1">
      <sharedItems count="1">
        <s v="TUBOS"/>
      </sharedItems>
    </cacheField>
    <cacheField name="[hmov].[LOTE].[LOTE]" caption="LOTE" numFmtId="0" hierarchy="11" level="1">
      <sharedItems containsNonDate="0" count="3">
        <s v="1111"/>
        <s v="23456"/>
        <s v="333"/>
      </sharedItems>
    </cacheField>
  </cacheFields>
  <cacheHierarchies count="44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0" memberValueDatatype="20" unbalanced="0"/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2" memberValueDatatype="130" unbalanced="0">
      <fieldsUsage count="2">
        <fieldUsage x="-1"/>
        <fieldUsage x="6"/>
      </fieldsUsage>
    </cacheHierarchy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2" memberValueDatatype="20" unbalanced="0">
      <fieldsUsage count="2">
        <fieldUsage x="-1"/>
        <fieldUsage x="1"/>
      </fieldsUsage>
    </cacheHierarchy>
    <cacheHierarchy uniqueName="[hmov].[costolote_virtual]" caption="costolote_virtual" attribute="1" defaultMemberUniqueName="[hmov].[costolote_virtual].[All]" allUniqueName="[hmov].[costolote_virtual].[All]" dimensionUniqueName="[hmov]" displayFolder="" count="0" memberValueDatatype="20" unbalanced="0"/>
    <cacheHierarchy uniqueName="[prod].[PRODUCTO]" caption="PRODUCTO" attribute="1" defaultMemberUniqueName="[prod].[PRODUCTO].[All]" allUniqueName="[prod].[PRODUCTO].[All]" dimensionUniqueName="[prod]" displayFolder="" count="2" memberValueDatatype="130" unbalanced="0">
      <fieldsUsage count="2">
        <fieldUsage x="-1"/>
        <fieldUsage x="4"/>
      </fieldsUsage>
    </cacheHierarchy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5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0" memberValueDatatype="130" unbalanced="0"/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0" memberValueDatatype="130" unbalanced="0"/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lote_virtual]" caption="lote_virtual" attribute="1" defaultMemberUniqueName="[hmov].[lote_virtual].[All]" allUniqueName="[hmov].[lote_virtual].[All]" dimensionUniqueName="[hmov]" displayFolder="" count="0" memberValueDatatype="130" unbalanced="0" hidden="1"/>
    <cacheHierarchy uniqueName="[Measures].[existencias]" caption="existencias" measure="1" displayFolder="" measureGroup="hmov" count="0" oneField="1">
      <fieldsUsage count="1">
        <fieldUsage x="3"/>
      </fieldsUsage>
    </cacheHierarchy>
    <cacheHierarchy uniqueName="[Measures].[vida]" caption="vida" measure="1" displayFolder="" measureGroup="hmov" count="0" oneField="1">
      <fieldsUsage count="1">
        <fieldUsage x="0"/>
      </fieldsUsage>
    </cacheHierarchy>
    <cacheHierarchy uniqueName="[Measures].[cost]" caption="cost" measure="1" displayFolder="" measureGroup="hmov" count="0" oneField="1">
      <fieldsUsage count="1">
        <fieldUsage x="2"/>
      </fieldsUsage>
    </cacheHierarchy>
    <cacheHierarchy uniqueName="[Measures].[salCant]" caption="salCant" measure="1" displayFolder="" measureGroup="hmov" count="0"/>
    <cacheHierarchy uniqueName="[Measures].[salFrec]" caption="salFrec" measure="1" displayFolder="" measureGroup="hmov" count="0"/>
    <cacheHierarchy uniqueName="[Measures].[salCost]" caption="salCost" measure="1" displayFolder="" measureGroup="hmov" count="0"/>
    <cacheHierarchy uniqueName="[Measures].[entCant]" caption="entCant" measure="1" displayFolder="" measureGroup="hmov" count="0"/>
    <cacheHierarchy uniqueName="[Measures].[entCost]" caption="entCost" measure="1" displayFolder="" measureGroup="hmov" count="0"/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  <cacheHierarchy uniqueName="[Measures].[Suma de col_existencias]" caption="Suma de col_existencias" measure="1" displayFolder="" measureGroup="hmov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94120D-C432-4CFC-AAFD-48EBA516BB00}" name="dashInv" cacheId="203" applyNumberFormats="0" applyBorderFormats="0" applyFontFormats="0" applyPatternFormats="0" applyAlignmentFormats="0" applyWidthHeightFormats="1" dataCaption="Valores" tag="5915428a-92dc-4960-94dc-af5010548f29" updatedVersion="8" minRefreshableVersion="3" useAutoFormatting="1" subtotalHiddenItems="1" itemPrintTitles="1" createdVersion="8" indent="0" outline="1" outlineData="1" multipleFieldFilters="0" rowHeaderCaption="">
  <location ref="A3:D5" firstHeaderRow="0" firstDataRow="1" firstDataCol="1" rowPageCount="1" colPageCount="1"/>
  <pivotFields count="7">
    <pivotField dataField="1" subtotalTop="0" showAll="0" defaultSubtotal="0"/>
    <pivotField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 e="0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3">
    <field x="5"/>
    <field x="4"/>
    <field x="6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13" name="[hmov].[col_existencias].&amp;[3]" cap="3"/>
  </pageFields>
  <dataFields count="3">
    <dataField name="CantidadExistente" fld="3" subtotal="count" baseField="0" baseItem="0"/>
    <dataField name="ValorExistente" fld="2" subtotal="count" baseField="0" baseItem="0"/>
    <dataField name="VidaPromedio" fld="0" subtotal="count" baseField="0" baseItem="0"/>
  </dataFields>
  <formats count="14">
    <format dxfId="57">
      <pivotArea dataOnly="0" grandRow="1" fieldPosition="0"/>
    </format>
    <format dxfId="56">
      <pivotArea grandRow="1" outline="0" collapsedLevelsAreSubtotals="1" fieldPosition="0"/>
    </format>
    <format dxfId="55">
      <pivotArea dataOnly="0" labelOnly="1" grandRow="1" outline="0" fieldPosition="0"/>
    </format>
    <format dxfId="54">
      <pivotArea type="all" dataOnly="0" outline="0" fieldPosition="0"/>
    </format>
    <format dxfId="53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3">
      <pivotArea dataOnly="0" labelOnly="1" fieldPosition="0">
        <references count="2">
          <reference field="4" count="0"/>
          <reference field="5" count="0" selected="0"/>
        </references>
      </pivotArea>
    </format>
    <format dxfId="6">
      <pivotArea outline="0" collapsedLevelsAreSubtotals="1" fieldPosition="0"/>
    </format>
    <format dxfId="5">
      <pivotArea dataOnly="0" labelOnly="1" outline="0" fieldPosition="0">
        <references count="1">
          <reference field="1" count="0"/>
        </references>
      </pivotArea>
    </format>
    <format dxfId="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">
      <pivotArea field="1" type="button" dataOnly="0" labelOnly="1" outline="0" axis="axisPage" fieldPosition="0"/>
    </format>
    <format dxfId="2">
      <pivotArea field="5" type="button" dataOnly="0" labelOnly="1" outline="0" axis="axisRow" fieldPosition="0"/>
    </format>
    <format dxfId="1">
      <pivotArea dataOnly="0" labelOnly="1" fieldPosition="0">
        <references count="1">
          <reference field="5" count="0"/>
        </references>
      </pivotArea>
    </format>
    <format dxfId="0">
      <pivotArea dataOnly="0" labelOnly="1" grandRow="1" outline="0" fieldPosition="0"/>
    </format>
  </formats>
  <pivotHierarchies count="4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3" level="1">
        <member name="[hmov].[col_existencias].&amp;[3]"/>
        <member name="[hmov].[col_existencias].&amp;[23]"/>
        <member name="[hmov].[col_existencias].&amp;[39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CantidadExistente"/>
    <pivotHierarchy dragToRow="0" dragToCol="0" dragToPage="0" dragToData="1" caption="VidaPromedio"/>
    <pivotHierarchy dragToRow="0" dragToCol="0" dragToPage="0" dragToData="1" caption="ValorExistent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5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]"/>
        <x15:activeTabTopLevelEntity name="[hmov]"/>
        <x15:activeTabTopLevelEntity name="[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97E05-F634-4477-A9E6-F8364F0520F3}" name="dashEnt" cacheId="191" applyNumberFormats="0" applyBorderFormats="0" applyFontFormats="0" applyPatternFormats="0" applyAlignmentFormats="0" applyWidthHeightFormats="1" dataCaption="Valores" tag="0b6b31bd-255d-4c18-bdaa-a53e9bceae8f" updatedVersion="8" minRefreshableVersion="3" useAutoFormatting="1" itemPrintTitles="1" createdVersion="8" indent="0" outline="1" outlineData="1" multipleFieldFilters="0" rowHeaderCaption="">
  <location ref="A3:C6" firstHeaderRow="0" firstDataRow="1" firstDataCol="1" rowPageCount="1" colPageCount="1"/>
  <pivotFields count="7"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2">
        <item x="0" e="0"/>
        <item x="1" e="0"/>
      </items>
    </pivotField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3">
    <field x="4"/>
    <field x="3"/>
    <field x="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21" name="[prov].[IDPROVEEDOR].&amp;[1]" cap="1"/>
  </pageFields>
  <dataFields count="2">
    <dataField name="ValorEntrada" fld="1" subtotal="count" baseField="0" baseItem="0"/>
    <dataField name="CantidadEntrada" fld="0" subtotal="count" baseField="0" baseItem="0"/>
  </dataFields>
  <formats count="14">
    <format dxfId="51">
      <pivotArea type="all" dataOnly="0" outline="0" fieldPosition="0"/>
    </format>
    <format dxfId="5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">
      <pivotArea dataOnly="0" labelOnly="1" fieldPosition="0">
        <references count="2">
          <reference field="3" count="0"/>
          <reference field="4" count="1" selected="0">
            <x v="0"/>
          </reference>
        </references>
      </pivotArea>
    </format>
    <format dxfId="26">
      <pivotArea dataOnly="0" labelOnly="1" fieldPosition="0">
        <references count="2">
          <reference field="3" count="0"/>
          <reference field="4" count="1" selected="0">
            <x v="1"/>
          </reference>
        </references>
      </pivotArea>
    </format>
    <format dxfId="25">
      <pivotArea dataOnly="0" labelOnly="1" fieldPosition="0">
        <references count="3">
          <reference field="2" count="0"/>
          <reference field="3" count="0" selected="0"/>
          <reference field="4" count="1" selected="0">
            <x v="0"/>
          </reference>
        </references>
      </pivotArea>
    </format>
    <format dxfId="24">
      <pivotArea dataOnly="0" labelOnly="1" fieldPosition="0">
        <references count="3">
          <reference field="2" count="0"/>
          <reference field="3" count="0" selected="0"/>
          <reference field="4" count="1" selected="0">
            <x v="1"/>
          </reference>
        </references>
      </pivotArea>
    </format>
    <format dxfId="13">
      <pivotArea outline="0" collapsedLevelsAreSubtotals="1" fieldPosition="0"/>
    </format>
    <format dxfId="12">
      <pivotArea dataOnly="0" labelOnly="1" outline="0" fieldPosition="0">
        <references count="1">
          <reference field="6" count="0"/>
        </references>
      </pivotArea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field="6" type="button" dataOnly="0" labelOnly="1" outline="0" axis="axisPage" fieldPosition="0"/>
    </format>
    <format dxfId="9">
      <pivotArea field="4" type="button" dataOnly="0" labelOnly="1" outline="0" axis="axisRow" fieldPosition="0"/>
    </format>
    <format dxfId="8">
      <pivotArea dataOnly="0" labelOnly="1" fieldPosition="0">
        <references count="1">
          <reference field="4" count="0"/>
        </references>
      </pivotArea>
    </format>
    <format dxfId="7">
      <pivotArea dataOnly="0" labelOnly="1" grandRow="1" outline="0" fieldPosition="0"/>
    </format>
  </formats>
  <pivotHierarchies count="4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prod].[EXISTENCIA].&amp;[0]"/>
        <member name="[prod].[EXISTENCIA].&amp;[65]"/>
      </members>
    </pivotHierarchy>
    <pivotHierarchy dragToData="1"/>
    <pivotHierarchy multipleItemSelectionAllowed="1" dragToData="1">
      <members count="4" level="1">
        <member name="[prov].[IDPROVEEDOR].&amp;[1]"/>
        <member name="[prov].[IDPROVEEDOR].&amp;[2]"/>
        <member name="[prov].[IDPROVEEDOR].&amp;[3]"/>
        <member name="[prov].[IDPROVEEDOR].&amp;[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ntidadEntrada"/>
    <pivotHierarchy dragToRow="0" dragToCol="0" dragToPage="0" dragToData="1" caption="ValorEntrada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20"/>
    <rowHierarchyUsage hierarchyUsage="17"/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v]"/>
        <x15:activeTabTopLevelEntity name="[hmov]"/>
        <x15:activeTabTopLevelEntity name="[pro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53119-608D-4D53-84E5-0B5A22C7DBCE}" name="dashSal" cacheId="182" applyNumberFormats="0" applyBorderFormats="0" applyFontFormats="0" applyPatternFormats="0" applyAlignmentFormats="0" applyWidthHeightFormats="1" dataCaption="Valores" tag="67fbd0ca-7456-4051-903b-40af6c8d93ec" updatedVersion="8" minRefreshableVersion="3" useAutoFormatting="1" itemPrintTitles="1" createdVersion="8" indent="0" outline="1" outlineData="1" multipleFieldFilters="0" rowHeaderCaption="">
  <location ref="A3:D8" firstHeaderRow="0" firstDataRow="1" firstDataCol="1" rowPageCount="1" colPageCount="1"/>
  <pivotFields count="7">
    <pivotField dataField="1" showAll="0" defaultSubtotal="0"/>
    <pivotField dataField="1" showAll="0" defaultSubtotal="0"/>
    <pivotField dataField="1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</pivotFields>
  <rowFields count="3">
    <field x="5"/>
    <field x="4"/>
    <field x="3"/>
  </rowFields>
  <rowItems count="5">
    <i>
      <x/>
    </i>
    <i r="1">
      <x/>
    </i>
    <i r="2">
      <x/>
    </i>
    <i r="2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23" name="[suc].[IDSUCURSAL].&amp;[1]" cap="1"/>
  </pageFields>
  <dataFields count="3">
    <dataField name="ValorTraspaso" fld="2" subtotal="count" baseField="0" baseItem="0"/>
    <dataField name="CantidadTraspaso" fld="0" subtotal="count" baseField="0" baseItem="0"/>
    <dataField name="FrecuenciaTraspaso" fld="1" subtotal="count" baseField="0" baseItem="0"/>
  </dataFields>
  <formats count="12">
    <format dxfId="48">
      <pivotArea type="all" dataOnly="0" outline="0" fieldPosition="0"/>
    </format>
    <format dxfId="47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">
      <pivotArea outline="0" collapsedLevelsAreSubtotals="1" fieldPosition="0"/>
    </format>
    <format dxfId="21">
      <pivotArea dataOnly="0" labelOnly="1" outline="0" fieldPosition="0">
        <references count="1">
          <reference field="6" count="0"/>
        </references>
      </pivotArea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field="6" type="button" dataOnly="0" labelOnly="1" outline="0" axis="axisPage" fieldPosition="0"/>
    </format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dataOnly="0" labelOnly="1" fieldPosition="0">
        <references count="2">
          <reference field="4" count="0"/>
          <reference field="5" count="0" selected="0"/>
        </references>
      </pivotArea>
    </format>
    <format dxfId="14">
      <pivotArea dataOnly="0" labelOnly="1" fieldPosition="0">
        <references count="3">
          <reference field="3" count="0"/>
          <reference field="4" count="0" selected="0"/>
          <reference field="5" count="0" selected="0"/>
        </references>
      </pivotArea>
    </format>
  </formats>
  <pivotHierarchies count="4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3" level="1">
        <member name="[suc].[IDSUCURSAL].&amp;[1]"/>
        <member name="[suc].[IDSUCURSAL].&amp;[2]"/>
        <member name="[suc].[IDSUCURSAL].&amp;[3]"/>
      </members>
    </pivotHierarchy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ntidadTraspaso"/>
    <pivotHierarchy dragToRow="0" dragToCol="0" dragToPage="0" dragToData="1" caption="FrecuenciaTraspaso"/>
    <pivotHierarchy dragToRow="0" dragToCol="0" dragToPage="0" dragToData="1" caption="ValorTraspaso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22"/>
    <rowHierarchyUsage hierarchyUsage="17"/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c]"/>
        <x15:activeTabTopLevelEntity name="[hmov]"/>
        <x15:activeTabTopLevelEntity name="[area]"/>
        <x15:activeTabTopLevelEntity name="[pro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945747-7367-427A-AAC7-505CBA012648}" name="prod" displayName="prod" ref="A1:E106" totalsRowShown="0">
  <autoFilter ref="A1:E106" xr:uid="{3B945747-7367-427A-AAC7-505CBA012648}"/>
  <tableColumns count="5">
    <tableColumn id="1" xr3:uid="{D1ED3B1A-88BF-4660-9333-2E1B49F16547}" name="PRODUCTO"/>
    <tableColumn id="4" xr3:uid="{077F18B3-D03E-436C-ADDA-C6B84AD8609F}" name="UNIDAD"/>
    <tableColumn id="7" xr3:uid="{FB6CE7D1-8029-42FC-8EFD-50CC8BB2E936}" name="AREA"/>
    <tableColumn id="6" xr3:uid="{3BD268D1-EF0E-4176-9856-1E4007FFDBE4}" name="IDPROD" dataDxfId="45"/>
    <tableColumn id="2" xr3:uid="{7D3DE1B2-1C0E-4423-A4AE-1083B5A37EC1}" name="EXISTENCIA" dataDxfId="44">
      <calculatedColumnFormula>SUMIFS(hmov[CANTIDAD],hmov[IDPRODUCTO],prod[[#This Row],[IDPROD]],hmov[INOUT],1)-SUMIFS(hmov[CANTIDAD],hmov[IDPRODUCTO],prod[[#This Row],[IDPROD]],hmov[INOUT],0)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419119-D8F6-4266-96A2-C36B2C1800E7}" name="prov" displayName="prov" ref="A1:B10" totalsRowShown="0">
  <autoFilter ref="A1:B10" xr:uid="{74419119-D8F6-4266-96A2-C36B2C1800E7}"/>
  <tableColumns count="2">
    <tableColumn id="1" xr3:uid="{AB441392-509E-457D-BC1C-F98AE59CEA69}" name="PROVEEDOR"/>
    <tableColumn id="2" xr3:uid="{CC5219C6-52C3-4D9A-983C-5A45FF275D80}" name="IDPROVEEDOR" dataDxfId="4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54B3E85-BFD7-48CA-AAF6-1803BC020CDB}" name="suc" displayName="suc" ref="A1:B8" totalsRowShown="0">
  <autoFilter ref="A1:B8" xr:uid="{554B3E85-BFD7-48CA-AAF6-1803BC020CDB}"/>
  <tableColumns count="2">
    <tableColumn id="1" xr3:uid="{19759173-5F83-4587-A626-4E872A8F979A}" name="SUCURSAL"/>
    <tableColumn id="2" xr3:uid="{3B9A8D59-E50D-41F3-B647-CE78BA4CF77B}" name="IDSUCURSAL" dataDxfId="4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AA69EC-C32D-4CB3-A62A-2015B0F2393A}" name="ar" displayName="ar" ref="A1:B21" totalsRowShown="0">
  <autoFilter ref="A1:B21" xr:uid="{35AA69EC-C32D-4CB3-A62A-2015B0F2393A}"/>
  <tableColumns count="2">
    <tableColumn id="1" xr3:uid="{A9450D9B-7A4D-4449-BFDC-175A5CE41CF4}" name="AREA"/>
    <tableColumn id="2" xr3:uid="{6809EBFD-1386-4B71-AE0F-87814E7A0A60}" name="IDAREA" dataDxfId="41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135F6C-5B17-4397-B23B-CE659D44BA21}" name="tmov" displayName="tmov" ref="A1:C4" totalsRowShown="0">
  <autoFilter ref="A1:C4" xr:uid="{FF135F6C-5B17-4397-B23B-CE659D44BA21}"/>
  <tableColumns count="3">
    <tableColumn id="1" xr3:uid="{E91BAEA4-7E0B-4111-9A84-E0C22F051EAB}" name="TIPO"/>
    <tableColumn id="2" xr3:uid="{550F5926-7656-4FD9-85A9-E80D30ED1D64}" name="INOUT"/>
    <tableColumn id="3" xr3:uid="{E28FD73B-32D3-4F7E-9EF7-97353D61553C}" name="IDTIPO" dataDxfId="40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1C0EDB-2083-4D68-A429-91958B4E1066}" name="hmov" displayName="hmov" ref="A1:K15" totalsRowShown="0" dataDxfId="39">
  <autoFilter ref="A1:K15" xr:uid="{871C0EDB-2083-4D68-A429-91958B4E1066}"/>
  <tableColumns count="11">
    <tableColumn id="1" xr3:uid="{9B9544CD-669A-4781-A4A2-D72DA8F92247}" name="FECHA" dataDxfId="38"/>
    <tableColumn id="2" xr3:uid="{8205D17E-783C-487B-9559-9823D34C6208}" name="IDMOV" dataDxfId="37"/>
    <tableColumn id="3" xr3:uid="{8AF9B385-5AB1-4B05-8A15-833AFC66DA32}" name="IDTIPO" dataDxfId="36"/>
    <tableColumn id="4" xr3:uid="{C955AA5A-6BA6-4089-A0A3-BC75A339CFFA}" name="INOUT" dataDxfId="35"/>
    <tableColumn id="9" xr3:uid="{BB261342-3672-4DF6-803D-690AF9EC4A30}" name="IDSUCURSAL" dataDxfId="34"/>
    <tableColumn id="10" xr3:uid="{0BFBCF4C-D959-497F-AB46-9212EC59287B}" name="IDPROVEEDOR" dataDxfId="33"/>
    <tableColumn id="5" xr3:uid="{D4298A57-8EBD-4CA7-A753-9C36D40A5E0F}" name="IDPRODUCTO" dataDxfId="32"/>
    <tableColumn id="6" xr3:uid="{CB70D502-2F78-4FBA-8BFB-6E431BD5E12D}" name="CANTIDAD" dataDxfId="31"/>
    <tableColumn id="7" xr3:uid="{DE3F597D-B42D-458E-B9B1-5553201A990B}" name="COSTO" dataDxfId="30"/>
    <tableColumn id="11" xr3:uid="{B3946F2C-D42F-4DE8-B57E-B72EA1838C26}" name="LOTE" dataDxfId="29"/>
    <tableColumn id="8" xr3:uid="{21B09C58-A40A-4AB4-819C-446B7BC20964}" name="FECHA_CAD" dataDxfId="28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0916-D9D3-4204-BBBF-75B012ED86F7}">
  <sheetPr codeName="dInv">
    <tabColor rgb="FF00B050"/>
  </sheetPr>
  <dimension ref="A1:D5"/>
  <sheetViews>
    <sheetView tabSelected="1" topLeftCell="A2" zoomScaleNormal="100" workbookViewId="0">
      <selection activeCell="F9" sqref="F9"/>
    </sheetView>
  </sheetViews>
  <sheetFormatPr baseColWidth="10" defaultRowHeight="15" x14ac:dyDescent="0.25"/>
  <cols>
    <col min="1" max="1" width="14.42578125" style="8" bestFit="1" customWidth="1"/>
    <col min="2" max="4" width="15.7109375" style="10" customWidth="1"/>
  </cols>
  <sheetData>
    <row r="1" spans="1:4" hidden="1" x14ac:dyDescent="0.25">
      <c r="A1" s="16" t="s">
        <v>3</v>
      </c>
      <c r="B1" s="10" t="s" vm="1">
        <v>189</v>
      </c>
    </row>
    <row r="3" spans="1:4" x14ac:dyDescent="0.25">
      <c r="A3" s="16" t="s">
        <v>6</v>
      </c>
      <c r="B3" s="10" t="s">
        <v>10</v>
      </c>
      <c r="C3" s="10" t="s">
        <v>12</v>
      </c>
      <c r="D3" s="10" t="s">
        <v>11</v>
      </c>
    </row>
    <row r="4" spans="1:4" x14ac:dyDescent="0.25">
      <c r="A4" s="8" t="s">
        <v>61</v>
      </c>
      <c r="B4" s="11">
        <v>65</v>
      </c>
      <c r="C4" s="12">
        <v>2863.5</v>
      </c>
      <c r="D4" s="11">
        <v>-1</v>
      </c>
    </row>
    <row r="5" spans="1:4" x14ac:dyDescent="0.25">
      <c r="A5" s="13" t="s">
        <v>2</v>
      </c>
      <c r="B5" s="14">
        <v>65</v>
      </c>
      <c r="C5" s="15">
        <v>2863.5</v>
      </c>
      <c r="D5" s="14">
        <v>-1</v>
      </c>
    </row>
  </sheetData>
  <pageMargins left="0.7" right="0.7" top="0.75" bottom="0.75" header="0.3" footer="0.3"/>
  <pageSetup orientation="portrait" horizontalDpi="360" verticalDpi="36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actualiza">
                <anchor moveWithCells="1" sizeWithCells="1">
                  <from>
                    <xdr:col>4</xdr:col>
                    <xdr:colOff>752475</xdr:colOff>
                    <xdr:row>2</xdr:row>
                    <xdr:rowOff>0</xdr:rowOff>
                  </from>
                  <to>
                    <xdr:col>5</xdr:col>
                    <xdr:colOff>752475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6AC5-6E26-4391-9CEE-FEE070D29CD7}">
  <sheetPr codeName="dEnt">
    <tabColor rgb="FF00B050"/>
  </sheetPr>
  <dimension ref="A1:D6"/>
  <sheetViews>
    <sheetView topLeftCell="A2" workbookViewId="0">
      <selection activeCell="C5" sqref="C5"/>
    </sheetView>
  </sheetViews>
  <sheetFormatPr baseColWidth="10" defaultRowHeight="15" x14ac:dyDescent="0.25"/>
  <cols>
    <col min="1" max="1" width="13.7109375" style="8" bestFit="1" customWidth="1"/>
    <col min="2" max="3" width="15.7109375" style="10" customWidth="1"/>
    <col min="4" max="4" width="9.140625" style="10" bestFit="1" customWidth="1"/>
  </cols>
  <sheetData>
    <row r="1" spans="1:4" hidden="1" x14ac:dyDescent="0.25">
      <c r="A1" s="16" t="s">
        <v>30</v>
      </c>
      <c r="B1" s="10" t="s" vm="2">
        <v>189</v>
      </c>
    </row>
    <row r="3" spans="1:4" x14ac:dyDescent="0.25">
      <c r="A3" s="16" t="s">
        <v>6</v>
      </c>
      <c r="B3" s="10" t="s">
        <v>14</v>
      </c>
      <c r="C3" s="10" t="s">
        <v>13</v>
      </c>
      <c r="D3"/>
    </row>
    <row r="4" spans="1:4" x14ac:dyDescent="0.25">
      <c r="A4" s="8" t="s">
        <v>163</v>
      </c>
      <c r="B4" s="12">
        <v>40</v>
      </c>
      <c r="C4" s="11">
        <v>30</v>
      </c>
      <c r="D4"/>
    </row>
    <row r="5" spans="1:4" x14ac:dyDescent="0.25">
      <c r="A5" s="8" t="s">
        <v>102</v>
      </c>
      <c r="B5" s="12">
        <v>4784</v>
      </c>
      <c r="C5" s="11">
        <v>75</v>
      </c>
      <c r="D5"/>
    </row>
    <row r="6" spans="1:4" x14ac:dyDescent="0.25">
      <c r="A6" s="8" t="s">
        <v>2</v>
      </c>
      <c r="B6" s="12">
        <v>4824</v>
      </c>
      <c r="C6" s="11">
        <v>105</v>
      </c>
      <c r="D6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ctualiza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E445-477E-4935-96A4-54EEF5C9D7BD}">
  <sheetPr codeName="dSal">
    <tabColor rgb="FF00B050"/>
  </sheetPr>
  <dimension ref="A1:D8"/>
  <sheetViews>
    <sheetView topLeftCell="A2" workbookViewId="0">
      <selection activeCell="A6" sqref="A6"/>
    </sheetView>
  </sheetViews>
  <sheetFormatPr baseColWidth="10" defaultRowHeight="15" x14ac:dyDescent="0.25"/>
  <cols>
    <col min="1" max="1" width="21.140625" style="8" bestFit="1" customWidth="1"/>
    <col min="2" max="4" width="18.7109375" style="10" customWidth="1"/>
    <col min="5" max="5" width="10.85546875" customWidth="1"/>
    <col min="6" max="6" width="11.85546875" customWidth="1"/>
  </cols>
  <sheetData>
    <row r="1" spans="1:4" hidden="1" x14ac:dyDescent="0.25">
      <c r="A1" s="16" t="s">
        <v>31</v>
      </c>
      <c r="B1" s="10" t="s" vm="3">
        <v>189</v>
      </c>
    </row>
    <row r="3" spans="1:4" x14ac:dyDescent="0.25">
      <c r="A3" s="16" t="s">
        <v>6</v>
      </c>
      <c r="B3" s="10" t="s">
        <v>7</v>
      </c>
      <c r="C3" s="10" t="s">
        <v>8</v>
      </c>
      <c r="D3" s="10" t="s">
        <v>9</v>
      </c>
    </row>
    <row r="4" spans="1:4" x14ac:dyDescent="0.25">
      <c r="A4" s="8" t="s">
        <v>171</v>
      </c>
      <c r="B4" s="11"/>
      <c r="C4" s="11"/>
      <c r="D4" s="11"/>
    </row>
    <row r="5" spans="1:4" x14ac:dyDescent="0.25">
      <c r="A5" s="19" t="s">
        <v>61</v>
      </c>
      <c r="B5" s="11"/>
      <c r="C5" s="11"/>
      <c r="D5" s="11"/>
    </row>
    <row r="6" spans="1:4" x14ac:dyDescent="0.25">
      <c r="A6" s="20" t="s">
        <v>62</v>
      </c>
      <c r="B6" s="12">
        <v>0</v>
      </c>
      <c r="C6" s="11">
        <v>20</v>
      </c>
      <c r="D6" s="11">
        <v>0</v>
      </c>
    </row>
    <row r="7" spans="1:4" x14ac:dyDescent="0.25">
      <c r="A7" s="20" t="s">
        <v>60</v>
      </c>
      <c r="B7" s="12">
        <v>200</v>
      </c>
      <c r="C7" s="11">
        <v>40</v>
      </c>
      <c r="D7" s="11">
        <v>0</v>
      </c>
    </row>
    <row r="8" spans="1:4" x14ac:dyDescent="0.25">
      <c r="A8" s="8" t="s">
        <v>2</v>
      </c>
      <c r="B8" s="12">
        <v>200</v>
      </c>
      <c r="C8" s="11">
        <v>60</v>
      </c>
      <c r="D8" s="11">
        <v>0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ctualiza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D131-21F0-4BC8-B9C4-4F79F83F9D7F}">
  <sheetPr codeName="notamov">
    <tabColor theme="8" tint="0.59999389629810485"/>
  </sheetPr>
  <dimension ref="A2:F31"/>
  <sheetViews>
    <sheetView zoomScale="85" zoomScaleNormal="85" workbookViewId="0">
      <selection activeCell="D16" sqref="D16"/>
    </sheetView>
  </sheetViews>
  <sheetFormatPr baseColWidth="10" defaultRowHeight="15" x14ac:dyDescent="0.25"/>
  <cols>
    <col min="1" max="2" width="17.7109375" customWidth="1"/>
    <col min="3" max="3" width="17.7109375" style="9" customWidth="1"/>
    <col min="4" max="6" width="17.7109375" customWidth="1"/>
  </cols>
  <sheetData>
    <row r="2" spans="1:6" x14ac:dyDescent="0.25">
      <c r="A2" s="3" t="s">
        <v>16</v>
      </c>
      <c r="B2" s="5">
        <v>44739</v>
      </c>
    </row>
    <row r="3" spans="1:6" x14ac:dyDescent="0.25">
      <c r="A3" s="3" t="s">
        <v>17</v>
      </c>
      <c r="B3" s="1" t="s">
        <v>5</v>
      </c>
    </row>
    <row r="4" spans="1:6" x14ac:dyDescent="0.25">
      <c r="A4" s="3" t="s">
        <v>18</v>
      </c>
      <c r="B4" s="1" t="s">
        <v>15</v>
      </c>
    </row>
    <row r="5" spans="1:6" x14ac:dyDescent="0.25">
      <c r="A5" s="3" t="s">
        <v>19</v>
      </c>
      <c r="B5" s="1" t="s">
        <v>4</v>
      </c>
    </row>
    <row r="6" spans="1:6" x14ac:dyDescent="0.25">
      <c r="A6" s="6" t="s">
        <v>20</v>
      </c>
      <c r="B6" s="4">
        <f>INDEX(tmov[INOUT],MATCH(nTIPO_MOV,tmov[TIPO],0))</f>
        <v>0</v>
      </c>
    </row>
    <row r="8" spans="1:6" x14ac:dyDescent="0.25">
      <c r="A8" s="2" t="s">
        <v>21</v>
      </c>
      <c r="B8" s="2" t="s">
        <v>22</v>
      </c>
      <c r="C8" s="18" t="s">
        <v>23</v>
      </c>
      <c r="D8" s="2" t="s">
        <v>24</v>
      </c>
      <c r="E8" s="2" t="s">
        <v>25</v>
      </c>
      <c r="F8" s="2" t="s">
        <v>26</v>
      </c>
    </row>
    <row r="9" spans="1:6" x14ac:dyDescent="0.25">
      <c r="A9" s="1"/>
      <c r="B9" s="1"/>
      <c r="C9" s="17"/>
      <c r="D9" s="1"/>
      <c r="E9" s="7"/>
      <c r="F9" s="1"/>
    </row>
    <row r="10" spans="1:6" x14ac:dyDescent="0.25">
      <c r="A10" s="1"/>
      <c r="B10" s="1"/>
      <c r="C10" s="17"/>
      <c r="D10" s="1"/>
      <c r="E10" s="7"/>
      <c r="F10" s="1"/>
    </row>
    <row r="11" spans="1:6" x14ac:dyDescent="0.25">
      <c r="A11" s="1"/>
      <c r="B11" s="1"/>
      <c r="C11" s="17"/>
      <c r="D11" s="1"/>
      <c r="E11" s="7"/>
      <c r="F11" s="1"/>
    </row>
    <row r="12" spans="1:6" x14ac:dyDescent="0.25">
      <c r="A12" s="1"/>
      <c r="B12" s="1"/>
      <c r="C12" s="17"/>
      <c r="D12" s="1"/>
      <c r="E12" s="1"/>
      <c r="F12" s="1"/>
    </row>
    <row r="13" spans="1:6" x14ac:dyDescent="0.25">
      <c r="A13" s="1"/>
      <c r="B13" s="1"/>
      <c r="C13" s="17"/>
      <c r="D13" s="1"/>
      <c r="E13" s="1"/>
      <c r="F13" s="1"/>
    </row>
    <row r="14" spans="1:6" x14ac:dyDescent="0.25">
      <c r="A14" s="1"/>
      <c r="B14" s="1"/>
      <c r="C14" s="17"/>
      <c r="D14" s="1"/>
      <c r="E14" s="1"/>
      <c r="F14" s="1"/>
    </row>
    <row r="15" spans="1:6" x14ac:dyDescent="0.25">
      <c r="A15" s="1"/>
      <c r="B15" s="1"/>
      <c r="C15" s="17"/>
      <c r="D15" s="1"/>
      <c r="E15" s="1"/>
      <c r="F15" s="1"/>
    </row>
    <row r="16" spans="1:6" x14ac:dyDescent="0.25">
      <c r="A16" s="1"/>
      <c r="B16" s="1"/>
      <c r="C16" s="17"/>
      <c r="D16" s="1"/>
      <c r="E16" s="1"/>
      <c r="F16" s="1"/>
    </row>
    <row r="17" spans="1:6" x14ac:dyDescent="0.25">
      <c r="A17" s="1"/>
      <c r="B17" s="1"/>
      <c r="C17" s="17"/>
      <c r="D17" s="1"/>
      <c r="E17" s="1"/>
      <c r="F17" s="1"/>
    </row>
    <row r="18" spans="1:6" x14ac:dyDescent="0.25">
      <c r="A18" s="1"/>
      <c r="B18" s="1"/>
      <c r="C18" s="17"/>
      <c r="D18" s="1"/>
      <c r="E18" s="1"/>
      <c r="F18" s="1"/>
    </row>
    <row r="19" spans="1:6" x14ac:dyDescent="0.25">
      <c r="A19" s="1"/>
      <c r="B19" s="1"/>
      <c r="C19" s="17"/>
      <c r="D19" s="1"/>
      <c r="E19" s="1"/>
      <c r="F19" s="1"/>
    </row>
    <row r="20" spans="1:6" x14ac:dyDescent="0.25">
      <c r="A20" s="1"/>
      <c r="B20" s="1"/>
      <c r="C20" s="17"/>
      <c r="D20" s="1"/>
      <c r="E20" s="1"/>
      <c r="F20" s="1"/>
    </row>
    <row r="21" spans="1:6" x14ac:dyDescent="0.25">
      <c r="A21" s="1"/>
      <c r="B21" s="1"/>
      <c r="C21" s="17"/>
      <c r="D21" s="1"/>
      <c r="E21" s="1"/>
      <c r="F21" s="1"/>
    </row>
    <row r="22" spans="1:6" x14ac:dyDescent="0.25">
      <c r="A22" s="1"/>
      <c r="B22" s="1"/>
      <c r="C22" s="17"/>
      <c r="D22" s="1"/>
      <c r="E22" s="1"/>
      <c r="F22" s="1"/>
    </row>
    <row r="23" spans="1:6" x14ac:dyDescent="0.25">
      <c r="A23" s="1"/>
      <c r="B23" s="1"/>
      <c r="C23" s="17"/>
      <c r="D23" s="1"/>
      <c r="E23" s="1"/>
      <c r="F23" s="1"/>
    </row>
    <row r="24" spans="1:6" x14ac:dyDescent="0.25">
      <c r="A24" s="1"/>
      <c r="B24" s="1"/>
      <c r="C24" s="17"/>
      <c r="D24" s="1"/>
      <c r="E24" s="1"/>
      <c r="F24" s="1"/>
    </row>
    <row r="25" spans="1:6" x14ac:dyDescent="0.25">
      <c r="A25" s="1"/>
      <c r="B25" s="1"/>
      <c r="C25" s="17"/>
      <c r="D25" s="1"/>
      <c r="E25" s="1"/>
      <c r="F25" s="1"/>
    </row>
    <row r="26" spans="1:6" x14ac:dyDescent="0.25">
      <c r="A26" s="1"/>
      <c r="B26" s="1"/>
      <c r="C26" s="17"/>
      <c r="D26" s="1"/>
      <c r="E26" s="1"/>
      <c r="F26" s="1"/>
    </row>
    <row r="27" spans="1:6" x14ac:dyDescent="0.25">
      <c r="A27" s="1"/>
      <c r="B27" s="1"/>
      <c r="C27" s="17"/>
      <c r="D27" s="1"/>
      <c r="E27" s="1"/>
      <c r="F27" s="1"/>
    </row>
    <row r="28" spans="1:6" x14ac:dyDescent="0.25">
      <c r="A28" s="1"/>
      <c r="B28" s="1"/>
      <c r="C28" s="17"/>
      <c r="D28" s="1"/>
      <c r="E28" s="1"/>
      <c r="F28" s="1"/>
    </row>
    <row r="29" spans="1:6" x14ac:dyDescent="0.25">
      <c r="A29" s="1"/>
      <c r="B29" s="1"/>
      <c r="C29" s="17"/>
      <c r="D29" s="1"/>
      <c r="E29" s="1"/>
      <c r="F29" s="1"/>
    </row>
    <row r="30" spans="1:6" x14ac:dyDescent="0.25">
      <c r="A30" s="1"/>
      <c r="B30" s="1"/>
      <c r="C30" s="17"/>
      <c r="D30" s="1"/>
      <c r="E30" s="1"/>
      <c r="F30" s="1"/>
    </row>
    <row r="31" spans="1:6" x14ac:dyDescent="0.25">
      <c r="A31" s="1"/>
      <c r="B31" s="1"/>
      <c r="C31" s="17"/>
      <c r="D31" s="1"/>
      <c r="E31" s="1"/>
      <c r="F31" s="1"/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guarda">
                <anchor moveWithCells="1" sizeWithCells="1">
                  <from>
                    <xdr:col>5</xdr:col>
                    <xdr:colOff>0</xdr:colOff>
                    <xdr:row>0</xdr:row>
                    <xdr:rowOff>161925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CDE11-185F-4677-A794-C07BE3BD8465}">
  <sheetPr codeName="pr">
    <tabColor theme="6" tint="0.39997558519241921"/>
  </sheetPr>
  <dimension ref="A1:E106"/>
  <sheetViews>
    <sheetView topLeftCell="A81" workbookViewId="0">
      <selection activeCell="A107" sqref="A107"/>
    </sheetView>
  </sheetViews>
  <sheetFormatPr baseColWidth="10" defaultRowHeight="15" x14ac:dyDescent="0.25"/>
  <cols>
    <col min="1" max="8" width="15.7109375" customWidth="1"/>
  </cols>
  <sheetData>
    <row r="1" spans="1:5" x14ac:dyDescent="0.25">
      <c r="A1" t="s">
        <v>21</v>
      </c>
      <c r="B1" t="s">
        <v>22</v>
      </c>
      <c r="C1" t="s">
        <v>27</v>
      </c>
      <c r="D1" t="s">
        <v>28</v>
      </c>
      <c r="E1" t="s">
        <v>29</v>
      </c>
    </row>
    <row r="2" spans="1:5" x14ac:dyDescent="0.25">
      <c r="A2" t="s">
        <v>57</v>
      </c>
      <c r="B2" t="s">
        <v>58</v>
      </c>
      <c r="C2" t="s">
        <v>59</v>
      </c>
      <c r="D2" s="1">
        <v>1</v>
      </c>
      <c r="E2">
        <f>SUMIFS(hmov[CANTIDAD],hmov[IDPRODUCTO],prod[[#This Row],[IDPROD]],hmov[INOUT],1)-SUMIFS(hmov[CANTIDAD],hmov[IDPRODUCTO],prod[[#This Row],[IDPROD]],hmov[INOUT],0)</f>
        <v>0</v>
      </c>
    </row>
    <row r="3" spans="1:5" x14ac:dyDescent="0.25">
      <c r="A3" t="s">
        <v>60</v>
      </c>
      <c r="B3" t="s">
        <v>58</v>
      </c>
      <c r="C3" t="s">
        <v>61</v>
      </c>
      <c r="D3" s="1">
        <v>2</v>
      </c>
      <c r="E3">
        <f>SUMIFS(hmov[CANTIDAD],hmov[IDPRODUCTO],prod[[#This Row],[IDPROD]],hmov[INOUT],1)-SUMIFS(hmov[CANTIDAD],hmov[IDPRODUCTO],prod[[#This Row],[IDPROD]],hmov[INOUT],0)</f>
        <v>65</v>
      </c>
    </row>
    <row r="4" spans="1:5" x14ac:dyDescent="0.25">
      <c r="A4" t="s">
        <v>62</v>
      </c>
      <c r="B4" t="s">
        <v>58</v>
      </c>
      <c r="C4" t="s">
        <v>61</v>
      </c>
      <c r="D4" s="1">
        <v>3</v>
      </c>
      <c r="E4">
        <f>SUMIFS(hmov[CANTIDAD],hmov[IDPRODUCTO],prod[[#This Row],[IDPROD]],hmov[INOUT],1)-SUMIFS(hmov[CANTIDAD],hmov[IDPRODUCTO],prod[[#This Row],[IDPROD]],hmov[INOUT],0)</f>
        <v>0</v>
      </c>
    </row>
    <row r="5" spans="1:5" x14ac:dyDescent="0.25">
      <c r="A5" t="s">
        <v>63</v>
      </c>
      <c r="B5" t="s">
        <v>58</v>
      </c>
      <c r="C5" t="s">
        <v>61</v>
      </c>
      <c r="D5" s="1">
        <v>4</v>
      </c>
      <c r="E5" s="9">
        <f>SUMIFS(hmov[CANTIDAD],hmov[IDPRODUCTO],prod[[#This Row],[IDPROD]],hmov[INOUT],1)-SUMIFS(hmov[CANTIDAD],hmov[IDPRODUCTO],prod[[#This Row],[IDPROD]],hmov[INOUT],0)</f>
        <v>0</v>
      </c>
    </row>
    <row r="6" spans="1:5" x14ac:dyDescent="0.25">
      <c r="A6" t="s">
        <v>64</v>
      </c>
      <c r="B6" t="s">
        <v>58</v>
      </c>
      <c r="C6" t="s">
        <v>61</v>
      </c>
      <c r="D6" s="1">
        <v>5</v>
      </c>
      <c r="E6" s="9">
        <f>SUMIFS(hmov[CANTIDAD],hmov[IDPRODUCTO],prod[[#This Row],[IDPROD]],hmov[INOUT],1)-SUMIFS(hmov[CANTIDAD],hmov[IDPRODUCTO],prod[[#This Row],[IDPROD]],hmov[INOUT],0)</f>
        <v>0</v>
      </c>
    </row>
    <row r="7" spans="1:5" x14ac:dyDescent="0.25">
      <c r="A7" t="s">
        <v>65</v>
      </c>
      <c r="B7" t="s">
        <v>66</v>
      </c>
      <c r="C7" t="s">
        <v>67</v>
      </c>
      <c r="D7" s="1">
        <v>6</v>
      </c>
      <c r="E7" s="9">
        <f>SUMIFS(hmov[CANTIDAD],hmov[IDPRODUCTO],prod[[#This Row],[IDPROD]],hmov[INOUT],1)-SUMIFS(hmov[CANTIDAD],hmov[IDPRODUCTO],prod[[#This Row],[IDPROD]],hmov[INOUT],0)</f>
        <v>0</v>
      </c>
    </row>
    <row r="8" spans="1:5" x14ac:dyDescent="0.25">
      <c r="A8" t="s">
        <v>68</v>
      </c>
      <c r="B8" t="s">
        <v>69</v>
      </c>
      <c r="C8" t="s">
        <v>67</v>
      </c>
      <c r="D8" s="1">
        <v>7</v>
      </c>
      <c r="E8" s="9">
        <f>SUMIFS(hmov[CANTIDAD],hmov[IDPRODUCTO],prod[[#This Row],[IDPROD]],hmov[INOUT],1)-SUMIFS(hmov[CANTIDAD],hmov[IDPRODUCTO],prod[[#This Row],[IDPROD]],hmov[INOUT],0)</f>
        <v>0</v>
      </c>
    </row>
    <row r="9" spans="1:5" x14ac:dyDescent="0.25">
      <c r="A9" t="s">
        <v>70</v>
      </c>
      <c r="B9" t="s">
        <v>58</v>
      </c>
      <c r="C9" t="s">
        <v>71</v>
      </c>
      <c r="D9" s="1">
        <v>8</v>
      </c>
      <c r="E9" s="9">
        <f>SUMIFS(hmov[CANTIDAD],hmov[IDPRODUCTO],prod[[#This Row],[IDPROD]],hmov[INOUT],1)-SUMIFS(hmov[CANTIDAD],hmov[IDPRODUCTO],prod[[#This Row],[IDPROD]],hmov[INOUT],0)</f>
        <v>0</v>
      </c>
    </row>
    <row r="10" spans="1:5" x14ac:dyDescent="0.25">
      <c r="A10" t="s">
        <v>72</v>
      </c>
      <c r="B10" t="s">
        <v>58</v>
      </c>
      <c r="C10" t="s">
        <v>71</v>
      </c>
      <c r="D10" s="1">
        <v>9</v>
      </c>
      <c r="E10" s="9">
        <f>SUMIFS(hmov[CANTIDAD],hmov[IDPRODUCTO],prod[[#This Row],[IDPROD]],hmov[INOUT],1)-SUMIFS(hmov[CANTIDAD],hmov[IDPRODUCTO],prod[[#This Row],[IDPROD]],hmov[INOUT],0)</f>
        <v>0</v>
      </c>
    </row>
    <row r="11" spans="1:5" x14ac:dyDescent="0.25">
      <c r="A11" t="s">
        <v>73</v>
      </c>
      <c r="B11" t="s">
        <v>74</v>
      </c>
      <c r="C11" t="s">
        <v>71</v>
      </c>
      <c r="D11" s="1">
        <v>10</v>
      </c>
      <c r="E11" s="9">
        <f>SUMIFS(hmov[CANTIDAD],hmov[IDPRODUCTO],prod[[#This Row],[IDPROD]],hmov[INOUT],1)-SUMIFS(hmov[CANTIDAD],hmov[IDPRODUCTO],prod[[#This Row],[IDPROD]],hmov[INOUT],0)</f>
        <v>0</v>
      </c>
    </row>
    <row r="12" spans="1:5" x14ac:dyDescent="0.25">
      <c r="A12" t="s">
        <v>75</v>
      </c>
      <c r="B12" t="s">
        <v>58</v>
      </c>
      <c r="C12" t="s">
        <v>67</v>
      </c>
      <c r="D12" s="1">
        <v>11</v>
      </c>
      <c r="E12" s="9">
        <f>SUMIFS(hmov[CANTIDAD],hmov[IDPRODUCTO],prod[[#This Row],[IDPROD]],hmov[INOUT],1)-SUMIFS(hmov[CANTIDAD],hmov[IDPRODUCTO],prod[[#This Row],[IDPROD]],hmov[INOUT],0)</f>
        <v>0</v>
      </c>
    </row>
    <row r="13" spans="1:5" x14ac:dyDescent="0.25">
      <c r="A13" t="s">
        <v>76</v>
      </c>
      <c r="B13" t="s">
        <v>58</v>
      </c>
      <c r="C13" t="s">
        <v>67</v>
      </c>
      <c r="D13" s="1">
        <v>12</v>
      </c>
      <c r="E13" s="9">
        <f>SUMIFS(hmov[CANTIDAD],hmov[IDPRODUCTO],prod[[#This Row],[IDPROD]],hmov[INOUT],1)-SUMIFS(hmov[CANTIDAD],hmov[IDPRODUCTO],prod[[#This Row],[IDPROD]],hmov[INOUT],0)</f>
        <v>0</v>
      </c>
    </row>
    <row r="14" spans="1:5" x14ac:dyDescent="0.25">
      <c r="A14" t="s">
        <v>77</v>
      </c>
      <c r="B14" t="s">
        <v>58</v>
      </c>
      <c r="C14" t="s">
        <v>71</v>
      </c>
      <c r="D14" s="1">
        <v>13</v>
      </c>
      <c r="E14" s="9">
        <f>SUMIFS(hmov[CANTIDAD],hmov[IDPRODUCTO],prod[[#This Row],[IDPROD]],hmov[INOUT],1)-SUMIFS(hmov[CANTIDAD],hmov[IDPRODUCTO],prod[[#This Row],[IDPROD]],hmov[INOUT],0)</f>
        <v>0</v>
      </c>
    </row>
    <row r="15" spans="1:5" x14ac:dyDescent="0.25">
      <c r="A15" t="s">
        <v>78</v>
      </c>
      <c r="B15" t="s">
        <v>66</v>
      </c>
      <c r="C15" t="s">
        <v>67</v>
      </c>
      <c r="D15" s="1">
        <v>14</v>
      </c>
      <c r="E15" s="9">
        <f>SUMIFS(hmov[CANTIDAD],hmov[IDPRODUCTO],prod[[#This Row],[IDPROD]],hmov[INOUT],1)-SUMIFS(hmov[CANTIDAD],hmov[IDPRODUCTO],prod[[#This Row],[IDPROD]],hmov[INOUT],0)</f>
        <v>0</v>
      </c>
    </row>
    <row r="16" spans="1:5" x14ac:dyDescent="0.25">
      <c r="A16" t="s">
        <v>79</v>
      </c>
      <c r="B16" t="s">
        <v>58</v>
      </c>
      <c r="C16" t="s">
        <v>67</v>
      </c>
      <c r="D16" s="1">
        <v>15</v>
      </c>
      <c r="E16" s="9">
        <f>SUMIFS(hmov[CANTIDAD],hmov[IDPRODUCTO],prod[[#This Row],[IDPROD]],hmov[INOUT],1)-SUMIFS(hmov[CANTIDAD],hmov[IDPRODUCTO],prod[[#This Row],[IDPROD]],hmov[INOUT],0)</f>
        <v>0</v>
      </c>
    </row>
    <row r="17" spans="1:5" x14ac:dyDescent="0.25">
      <c r="A17" t="s">
        <v>80</v>
      </c>
      <c r="B17" t="s">
        <v>58</v>
      </c>
      <c r="C17" t="s">
        <v>67</v>
      </c>
      <c r="D17" s="1">
        <v>16</v>
      </c>
      <c r="E17" s="9">
        <f>SUMIFS(hmov[CANTIDAD],hmov[IDPRODUCTO],prod[[#This Row],[IDPROD]],hmov[INOUT],1)-SUMIFS(hmov[CANTIDAD],hmov[IDPRODUCTO],prod[[#This Row],[IDPROD]],hmov[INOUT],0)</f>
        <v>0</v>
      </c>
    </row>
    <row r="18" spans="1:5" x14ac:dyDescent="0.25">
      <c r="A18" t="s">
        <v>81</v>
      </c>
      <c r="B18" t="s">
        <v>58</v>
      </c>
      <c r="C18" t="s">
        <v>67</v>
      </c>
      <c r="D18" s="1">
        <v>17</v>
      </c>
      <c r="E18" s="9">
        <f>SUMIFS(hmov[CANTIDAD],hmov[IDPRODUCTO],prod[[#This Row],[IDPROD]],hmov[INOUT],1)-SUMIFS(hmov[CANTIDAD],hmov[IDPRODUCTO],prod[[#This Row],[IDPROD]],hmov[INOUT],0)</f>
        <v>0</v>
      </c>
    </row>
    <row r="19" spans="1:5" x14ac:dyDescent="0.25">
      <c r="A19" t="s">
        <v>82</v>
      </c>
      <c r="B19" t="s">
        <v>58</v>
      </c>
      <c r="C19" t="s">
        <v>67</v>
      </c>
      <c r="D19" s="1">
        <v>18</v>
      </c>
      <c r="E19" s="9">
        <f>SUMIFS(hmov[CANTIDAD],hmov[IDPRODUCTO],prod[[#This Row],[IDPROD]],hmov[INOUT],1)-SUMIFS(hmov[CANTIDAD],hmov[IDPRODUCTO],prod[[#This Row],[IDPROD]],hmov[INOUT],0)</f>
        <v>0</v>
      </c>
    </row>
    <row r="20" spans="1:5" x14ac:dyDescent="0.25">
      <c r="A20" t="s">
        <v>83</v>
      </c>
      <c r="B20" t="s">
        <v>58</v>
      </c>
      <c r="C20" t="s">
        <v>67</v>
      </c>
      <c r="D20" s="1">
        <v>19</v>
      </c>
      <c r="E20" s="9">
        <f>SUMIFS(hmov[CANTIDAD],hmov[IDPRODUCTO],prod[[#This Row],[IDPROD]],hmov[INOUT],1)-SUMIFS(hmov[CANTIDAD],hmov[IDPRODUCTO],prod[[#This Row],[IDPROD]],hmov[INOUT],0)</f>
        <v>0</v>
      </c>
    </row>
    <row r="21" spans="1:5" x14ac:dyDescent="0.25">
      <c r="A21" t="s">
        <v>84</v>
      </c>
      <c r="B21" t="s">
        <v>85</v>
      </c>
      <c r="C21" t="s">
        <v>86</v>
      </c>
      <c r="D21" s="1">
        <v>20</v>
      </c>
      <c r="E21" s="9">
        <f>SUMIFS(hmov[CANTIDAD],hmov[IDPRODUCTO],prod[[#This Row],[IDPROD]],hmov[INOUT],1)-SUMIFS(hmov[CANTIDAD],hmov[IDPRODUCTO],prod[[#This Row],[IDPROD]],hmov[INOUT],0)</f>
        <v>0</v>
      </c>
    </row>
    <row r="22" spans="1:5" x14ac:dyDescent="0.25">
      <c r="A22" t="s">
        <v>87</v>
      </c>
      <c r="B22" t="s">
        <v>85</v>
      </c>
      <c r="C22" t="s">
        <v>86</v>
      </c>
      <c r="D22" s="1">
        <v>21</v>
      </c>
      <c r="E22" s="9">
        <f>SUMIFS(hmov[CANTIDAD],hmov[IDPRODUCTO],prod[[#This Row],[IDPROD]],hmov[INOUT],1)-SUMIFS(hmov[CANTIDAD],hmov[IDPRODUCTO],prod[[#This Row],[IDPROD]],hmov[INOUT],0)</f>
        <v>0</v>
      </c>
    </row>
    <row r="23" spans="1:5" x14ac:dyDescent="0.25">
      <c r="A23" t="s">
        <v>88</v>
      </c>
      <c r="B23" t="s">
        <v>85</v>
      </c>
      <c r="C23" t="s">
        <v>86</v>
      </c>
      <c r="D23" s="1">
        <v>22</v>
      </c>
      <c r="E23" s="9">
        <f>SUMIFS(hmov[CANTIDAD],hmov[IDPRODUCTO],prod[[#This Row],[IDPROD]],hmov[INOUT],1)-SUMIFS(hmov[CANTIDAD],hmov[IDPRODUCTO],prod[[#This Row],[IDPROD]],hmov[INOUT],0)</f>
        <v>0</v>
      </c>
    </row>
    <row r="24" spans="1:5" x14ac:dyDescent="0.25">
      <c r="A24" t="s">
        <v>89</v>
      </c>
      <c r="B24" t="s">
        <v>85</v>
      </c>
      <c r="C24" t="s">
        <v>86</v>
      </c>
      <c r="D24" s="1">
        <v>23</v>
      </c>
      <c r="E24" s="9">
        <f>SUMIFS(hmov[CANTIDAD],hmov[IDPRODUCTO],prod[[#This Row],[IDPROD]],hmov[INOUT],1)-SUMIFS(hmov[CANTIDAD],hmov[IDPRODUCTO],prod[[#This Row],[IDPROD]],hmov[INOUT],0)</f>
        <v>0</v>
      </c>
    </row>
    <row r="25" spans="1:5" x14ac:dyDescent="0.25">
      <c r="A25" t="s">
        <v>90</v>
      </c>
      <c r="B25" t="s">
        <v>85</v>
      </c>
      <c r="C25" t="s">
        <v>86</v>
      </c>
      <c r="D25" s="1">
        <v>24</v>
      </c>
      <c r="E25" s="9">
        <f>SUMIFS(hmov[CANTIDAD],hmov[IDPRODUCTO],prod[[#This Row],[IDPROD]],hmov[INOUT],1)-SUMIFS(hmov[CANTIDAD],hmov[IDPRODUCTO],prod[[#This Row],[IDPROD]],hmov[INOUT],0)</f>
        <v>0</v>
      </c>
    </row>
    <row r="26" spans="1:5" x14ac:dyDescent="0.25">
      <c r="A26" t="s">
        <v>91</v>
      </c>
      <c r="B26" t="s">
        <v>74</v>
      </c>
      <c r="C26" t="s">
        <v>71</v>
      </c>
      <c r="D26" s="1">
        <v>25</v>
      </c>
      <c r="E26" s="9">
        <f>SUMIFS(hmov[CANTIDAD],hmov[IDPRODUCTO],prod[[#This Row],[IDPROD]],hmov[INOUT],1)-SUMIFS(hmov[CANTIDAD],hmov[IDPRODUCTO],prod[[#This Row],[IDPROD]],hmov[INOUT],0)</f>
        <v>0</v>
      </c>
    </row>
    <row r="27" spans="1:5" x14ac:dyDescent="0.25">
      <c r="A27" t="s">
        <v>92</v>
      </c>
      <c r="B27" t="s">
        <v>66</v>
      </c>
      <c r="C27" t="s">
        <v>71</v>
      </c>
      <c r="D27" s="1">
        <v>26</v>
      </c>
      <c r="E27" s="9">
        <f>SUMIFS(hmov[CANTIDAD],hmov[IDPRODUCTO],prod[[#This Row],[IDPROD]],hmov[INOUT],1)-SUMIFS(hmov[CANTIDAD],hmov[IDPRODUCTO],prod[[#This Row],[IDPROD]],hmov[INOUT],0)</f>
        <v>0</v>
      </c>
    </row>
    <row r="28" spans="1:5" x14ac:dyDescent="0.25">
      <c r="A28" t="s">
        <v>93</v>
      </c>
      <c r="B28" t="s">
        <v>66</v>
      </c>
      <c r="C28" t="s">
        <v>71</v>
      </c>
      <c r="D28" s="1">
        <v>27</v>
      </c>
      <c r="E28" s="9">
        <f>SUMIFS(hmov[CANTIDAD],hmov[IDPRODUCTO],prod[[#This Row],[IDPROD]],hmov[INOUT],1)-SUMIFS(hmov[CANTIDAD],hmov[IDPRODUCTO],prod[[#This Row],[IDPROD]],hmov[INOUT],0)</f>
        <v>0</v>
      </c>
    </row>
    <row r="29" spans="1:5" x14ac:dyDescent="0.25">
      <c r="A29" t="s">
        <v>94</v>
      </c>
      <c r="B29" t="s">
        <v>66</v>
      </c>
      <c r="C29" t="s">
        <v>71</v>
      </c>
      <c r="D29" s="1">
        <v>28</v>
      </c>
      <c r="E29" s="9">
        <f>SUMIFS(hmov[CANTIDAD],hmov[IDPRODUCTO],prod[[#This Row],[IDPROD]],hmov[INOUT],1)-SUMIFS(hmov[CANTIDAD],hmov[IDPRODUCTO],prod[[#This Row],[IDPROD]],hmov[INOUT],0)</f>
        <v>0</v>
      </c>
    </row>
    <row r="30" spans="1:5" x14ac:dyDescent="0.25">
      <c r="A30" t="s">
        <v>95</v>
      </c>
      <c r="B30" t="s">
        <v>66</v>
      </c>
      <c r="C30" t="s">
        <v>71</v>
      </c>
      <c r="D30" s="1">
        <v>29</v>
      </c>
      <c r="E30" s="9">
        <f>SUMIFS(hmov[CANTIDAD],hmov[IDPRODUCTO],prod[[#This Row],[IDPROD]],hmov[INOUT],1)-SUMIFS(hmov[CANTIDAD],hmov[IDPRODUCTO],prod[[#This Row],[IDPROD]],hmov[INOUT],0)</f>
        <v>0</v>
      </c>
    </row>
    <row r="31" spans="1:5" x14ac:dyDescent="0.25">
      <c r="A31" t="s">
        <v>96</v>
      </c>
      <c r="B31" t="s">
        <v>74</v>
      </c>
      <c r="C31" t="s">
        <v>71</v>
      </c>
      <c r="D31" s="1">
        <v>30</v>
      </c>
      <c r="E31" s="9">
        <f>SUMIFS(hmov[CANTIDAD],hmov[IDPRODUCTO],prod[[#This Row],[IDPROD]],hmov[INOUT],1)-SUMIFS(hmov[CANTIDAD],hmov[IDPRODUCTO],prod[[#This Row],[IDPROD]],hmov[INOUT],0)</f>
        <v>0</v>
      </c>
    </row>
    <row r="32" spans="1:5" x14ac:dyDescent="0.25">
      <c r="A32" t="s">
        <v>97</v>
      </c>
      <c r="B32" t="s">
        <v>66</v>
      </c>
      <c r="C32" t="s">
        <v>71</v>
      </c>
      <c r="D32" s="1">
        <v>31</v>
      </c>
      <c r="E32" s="9">
        <f>SUMIFS(hmov[CANTIDAD],hmov[IDPRODUCTO],prod[[#This Row],[IDPROD]],hmov[INOUT],1)-SUMIFS(hmov[CANTIDAD],hmov[IDPRODUCTO],prod[[#This Row],[IDPROD]],hmov[INOUT],0)</f>
        <v>0</v>
      </c>
    </row>
    <row r="33" spans="1:5" x14ac:dyDescent="0.25">
      <c r="A33" t="s">
        <v>98</v>
      </c>
      <c r="B33" t="s">
        <v>58</v>
      </c>
      <c r="C33" t="s">
        <v>71</v>
      </c>
      <c r="D33" s="1">
        <v>32</v>
      </c>
      <c r="E33" s="9">
        <f>SUMIFS(hmov[CANTIDAD],hmov[IDPRODUCTO],prod[[#This Row],[IDPROD]],hmov[INOUT],1)-SUMIFS(hmov[CANTIDAD],hmov[IDPRODUCTO],prod[[#This Row],[IDPROD]],hmov[INOUT],0)</f>
        <v>0</v>
      </c>
    </row>
    <row r="34" spans="1:5" x14ac:dyDescent="0.25">
      <c r="A34" t="s">
        <v>99</v>
      </c>
      <c r="B34" t="s">
        <v>58</v>
      </c>
      <c r="C34" t="s">
        <v>71</v>
      </c>
      <c r="D34" s="1">
        <v>33</v>
      </c>
      <c r="E34" s="9">
        <f>SUMIFS(hmov[CANTIDAD],hmov[IDPRODUCTO],prod[[#This Row],[IDPROD]],hmov[INOUT],1)-SUMIFS(hmov[CANTIDAD],hmov[IDPRODUCTO],prod[[#This Row],[IDPROD]],hmov[INOUT],0)</f>
        <v>0</v>
      </c>
    </row>
    <row r="35" spans="1:5" x14ac:dyDescent="0.25">
      <c r="A35" t="s">
        <v>100</v>
      </c>
      <c r="B35" t="s">
        <v>58</v>
      </c>
      <c r="C35" t="s">
        <v>71</v>
      </c>
      <c r="D35" s="1">
        <v>34</v>
      </c>
      <c r="E35" s="9">
        <f>SUMIFS(hmov[CANTIDAD],hmov[IDPRODUCTO],prod[[#This Row],[IDPROD]],hmov[INOUT],1)-SUMIFS(hmov[CANTIDAD],hmov[IDPRODUCTO],prod[[#This Row],[IDPROD]],hmov[INOUT],0)</f>
        <v>0</v>
      </c>
    </row>
    <row r="36" spans="1:5" x14ac:dyDescent="0.25">
      <c r="A36" t="s">
        <v>101</v>
      </c>
      <c r="B36" t="s">
        <v>85</v>
      </c>
      <c r="C36" t="s">
        <v>102</v>
      </c>
      <c r="D36" s="1">
        <v>35</v>
      </c>
      <c r="E36" s="9">
        <f>SUMIFS(hmov[CANTIDAD],hmov[IDPRODUCTO],prod[[#This Row],[IDPROD]],hmov[INOUT],1)-SUMIFS(hmov[CANTIDAD],hmov[IDPRODUCTO],prod[[#This Row],[IDPROD]],hmov[INOUT],0)</f>
        <v>0</v>
      </c>
    </row>
    <row r="37" spans="1:5" x14ac:dyDescent="0.25">
      <c r="A37" t="s">
        <v>103</v>
      </c>
      <c r="B37" t="s">
        <v>85</v>
      </c>
      <c r="C37" t="s">
        <v>102</v>
      </c>
      <c r="D37" s="1">
        <v>36</v>
      </c>
      <c r="E37" s="9">
        <f>SUMIFS(hmov[CANTIDAD],hmov[IDPRODUCTO],prod[[#This Row],[IDPROD]],hmov[INOUT],1)-SUMIFS(hmov[CANTIDAD],hmov[IDPRODUCTO],prod[[#This Row],[IDPROD]],hmov[INOUT],0)</f>
        <v>0</v>
      </c>
    </row>
    <row r="38" spans="1:5" x14ac:dyDescent="0.25">
      <c r="A38" t="s">
        <v>104</v>
      </c>
      <c r="B38" t="s">
        <v>85</v>
      </c>
      <c r="C38" t="s">
        <v>102</v>
      </c>
      <c r="D38" s="1">
        <v>37</v>
      </c>
      <c r="E38" s="9">
        <f>SUMIFS(hmov[CANTIDAD],hmov[IDPRODUCTO],prod[[#This Row],[IDPROD]],hmov[INOUT],1)-SUMIFS(hmov[CANTIDAD],hmov[IDPRODUCTO],prod[[#This Row],[IDPROD]],hmov[INOUT],0)</f>
        <v>0</v>
      </c>
    </row>
    <row r="39" spans="1:5" x14ac:dyDescent="0.25">
      <c r="A39" t="s">
        <v>105</v>
      </c>
      <c r="B39" t="s">
        <v>85</v>
      </c>
      <c r="C39" t="s">
        <v>102</v>
      </c>
      <c r="D39" s="1">
        <v>38</v>
      </c>
      <c r="E39" s="9">
        <f>SUMIFS(hmov[CANTIDAD],hmov[IDPRODUCTO],prod[[#This Row],[IDPROD]],hmov[INOUT],1)-SUMIFS(hmov[CANTIDAD],hmov[IDPRODUCTO],prod[[#This Row],[IDPROD]],hmov[INOUT],0)</f>
        <v>0</v>
      </c>
    </row>
    <row r="40" spans="1:5" x14ac:dyDescent="0.25">
      <c r="A40" t="s">
        <v>106</v>
      </c>
      <c r="B40" t="s">
        <v>85</v>
      </c>
      <c r="C40" t="s">
        <v>102</v>
      </c>
      <c r="D40" s="1">
        <v>39</v>
      </c>
      <c r="E40" s="9">
        <f>SUMIFS(hmov[CANTIDAD],hmov[IDPRODUCTO],prod[[#This Row],[IDPROD]],hmov[INOUT],1)-SUMIFS(hmov[CANTIDAD],hmov[IDPRODUCTO],prod[[#This Row],[IDPROD]],hmov[INOUT],0)</f>
        <v>0</v>
      </c>
    </row>
    <row r="41" spans="1:5" x14ac:dyDescent="0.25">
      <c r="A41" t="s">
        <v>107</v>
      </c>
      <c r="B41" t="s">
        <v>85</v>
      </c>
      <c r="C41" t="s">
        <v>102</v>
      </c>
      <c r="D41" s="1">
        <v>40</v>
      </c>
      <c r="E41" s="9">
        <f>SUMIFS(hmov[CANTIDAD],hmov[IDPRODUCTO],prod[[#This Row],[IDPROD]],hmov[INOUT],1)-SUMIFS(hmov[CANTIDAD],hmov[IDPRODUCTO],prod[[#This Row],[IDPROD]],hmov[INOUT],0)</f>
        <v>0</v>
      </c>
    </row>
    <row r="42" spans="1:5" x14ac:dyDescent="0.25">
      <c r="A42" t="s">
        <v>108</v>
      </c>
      <c r="B42" t="s">
        <v>85</v>
      </c>
      <c r="C42" t="s">
        <v>102</v>
      </c>
      <c r="D42" s="1">
        <v>41</v>
      </c>
      <c r="E42" s="9">
        <f>SUMIFS(hmov[CANTIDAD],hmov[IDPRODUCTO],prod[[#This Row],[IDPROD]],hmov[INOUT],1)-SUMIFS(hmov[CANTIDAD],hmov[IDPRODUCTO],prod[[#This Row],[IDPROD]],hmov[INOUT],0)</f>
        <v>0</v>
      </c>
    </row>
    <row r="43" spans="1:5" x14ac:dyDescent="0.25">
      <c r="A43" t="s">
        <v>109</v>
      </c>
      <c r="B43" t="s">
        <v>85</v>
      </c>
      <c r="C43" t="s">
        <v>102</v>
      </c>
      <c r="D43" s="1">
        <v>42</v>
      </c>
      <c r="E43" s="9">
        <f>SUMIFS(hmov[CANTIDAD],hmov[IDPRODUCTO],prod[[#This Row],[IDPROD]],hmov[INOUT],1)-SUMIFS(hmov[CANTIDAD],hmov[IDPRODUCTO],prod[[#This Row],[IDPROD]],hmov[INOUT],0)</f>
        <v>0</v>
      </c>
    </row>
    <row r="44" spans="1:5" x14ac:dyDescent="0.25">
      <c r="A44" t="s">
        <v>110</v>
      </c>
      <c r="B44" t="s">
        <v>85</v>
      </c>
      <c r="C44" t="s">
        <v>102</v>
      </c>
      <c r="D44" s="1">
        <v>43</v>
      </c>
      <c r="E44" s="9">
        <f>SUMIFS(hmov[CANTIDAD],hmov[IDPRODUCTO],prod[[#This Row],[IDPROD]],hmov[INOUT],1)-SUMIFS(hmov[CANTIDAD],hmov[IDPRODUCTO],prod[[#This Row],[IDPROD]],hmov[INOUT],0)</f>
        <v>0</v>
      </c>
    </row>
    <row r="45" spans="1:5" x14ac:dyDescent="0.25">
      <c r="A45" t="s">
        <v>111</v>
      </c>
      <c r="B45" t="s">
        <v>85</v>
      </c>
      <c r="C45" t="s">
        <v>102</v>
      </c>
      <c r="D45" s="1">
        <v>44</v>
      </c>
      <c r="E45" s="9">
        <f>SUMIFS(hmov[CANTIDAD],hmov[IDPRODUCTO],prod[[#This Row],[IDPROD]],hmov[INOUT],1)-SUMIFS(hmov[CANTIDAD],hmov[IDPRODUCTO],prod[[#This Row],[IDPROD]],hmov[INOUT],0)</f>
        <v>0</v>
      </c>
    </row>
    <row r="46" spans="1:5" x14ac:dyDescent="0.25">
      <c r="A46" t="s">
        <v>112</v>
      </c>
      <c r="B46" t="s">
        <v>85</v>
      </c>
      <c r="C46" t="s">
        <v>102</v>
      </c>
      <c r="D46" s="1">
        <v>45</v>
      </c>
      <c r="E46" s="9">
        <f>SUMIFS(hmov[CANTIDAD],hmov[IDPRODUCTO],prod[[#This Row],[IDPROD]],hmov[INOUT],1)-SUMIFS(hmov[CANTIDAD],hmov[IDPRODUCTO],prod[[#This Row],[IDPROD]],hmov[INOUT],0)</f>
        <v>0</v>
      </c>
    </row>
    <row r="47" spans="1:5" x14ac:dyDescent="0.25">
      <c r="A47" t="s">
        <v>113</v>
      </c>
      <c r="B47" t="s">
        <v>85</v>
      </c>
      <c r="C47" t="s">
        <v>102</v>
      </c>
      <c r="D47" s="1">
        <v>46</v>
      </c>
      <c r="E47" s="9">
        <f>SUMIFS(hmov[CANTIDAD],hmov[IDPRODUCTO],prod[[#This Row],[IDPROD]],hmov[INOUT],1)-SUMIFS(hmov[CANTIDAD],hmov[IDPRODUCTO],prod[[#This Row],[IDPROD]],hmov[INOUT],0)</f>
        <v>0</v>
      </c>
    </row>
    <row r="48" spans="1:5" x14ac:dyDescent="0.25">
      <c r="A48" t="s">
        <v>114</v>
      </c>
      <c r="B48" t="s">
        <v>85</v>
      </c>
      <c r="C48" t="s">
        <v>102</v>
      </c>
      <c r="D48" s="1">
        <v>47</v>
      </c>
      <c r="E48" s="9">
        <f>SUMIFS(hmov[CANTIDAD],hmov[IDPRODUCTO],prod[[#This Row],[IDPROD]],hmov[INOUT],1)-SUMIFS(hmov[CANTIDAD],hmov[IDPRODUCTO],prod[[#This Row],[IDPROD]],hmov[INOUT],0)</f>
        <v>0</v>
      </c>
    </row>
    <row r="49" spans="1:5" x14ac:dyDescent="0.25">
      <c r="A49" t="s">
        <v>115</v>
      </c>
      <c r="B49" t="s">
        <v>85</v>
      </c>
      <c r="C49" t="s">
        <v>102</v>
      </c>
      <c r="D49" s="1">
        <v>48</v>
      </c>
      <c r="E49" s="9">
        <f>SUMIFS(hmov[CANTIDAD],hmov[IDPRODUCTO],prod[[#This Row],[IDPROD]],hmov[INOUT],1)-SUMIFS(hmov[CANTIDAD],hmov[IDPRODUCTO],prod[[#This Row],[IDPROD]],hmov[INOUT],0)</f>
        <v>0</v>
      </c>
    </row>
    <row r="50" spans="1:5" x14ac:dyDescent="0.25">
      <c r="A50" t="s">
        <v>116</v>
      </c>
      <c r="B50" t="s">
        <v>85</v>
      </c>
      <c r="C50" t="s">
        <v>102</v>
      </c>
      <c r="D50" s="1">
        <v>49</v>
      </c>
      <c r="E50" s="9">
        <f>SUMIFS(hmov[CANTIDAD],hmov[IDPRODUCTO],prod[[#This Row],[IDPROD]],hmov[INOUT],1)-SUMIFS(hmov[CANTIDAD],hmov[IDPRODUCTO],prod[[#This Row],[IDPROD]],hmov[INOUT],0)</f>
        <v>0</v>
      </c>
    </row>
    <row r="51" spans="1:5" x14ac:dyDescent="0.25">
      <c r="A51" t="s">
        <v>117</v>
      </c>
      <c r="B51" t="s">
        <v>85</v>
      </c>
      <c r="C51" t="s">
        <v>102</v>
      </c>
      <c r="D51" s="1">
        <v>50</v>
      </c>
      <c r="E51" s="9">
        <f>SUMIFS(hmov[CANTIDAD],hmov[IDPRODUCTO],prod[[#This Row],[IDPROD]],hmov[INOUT],1)-SUMIFS(hmov[CANTIDAD],hmov[IDPRODUCTO],prod[[#This Row],[IDPROD]],hmov[INOUT],0)</f>
        <v>0</v>
      </c>
    </row>
    <row r="52" spans="1:5" x14ac:dyDescent="0.25">
      <c r="A52" t="s">
        <v>118</v>
      </c>
      <c r="B52" t="s">
        <v>85</v>
      </c>
      <c r="C52" t="s">
        <v>102</v>
      </c>
      <c r="D52" s="1">
        <v>51</v>
      </c>
      <c r="E52" s="9">
        <f>SUMIFS(hmov[CANTIDAD],hmov[IDPRODUCTO],prod[[#This Row],[IDPROD]],hmov[INOUT],1)-SUMIFS(hmov[CANTIDAD],hmov[IDPRODUCTO],prod[[#This Row],[IDPROD]],hmov[INOUT],0)</f>
        <v>0</v>
      </c>
    </row>
    <row r="53" spans="1:5" x14ac:dyDescent="0.25">
      <c r="A53" t="s">
        <v>119</v>
      </c>
      <c r="B53" t="s">
        <v>85</v>
      </c>
      <c r="C53" t="s">
        <v>102</v>
      </c>
      <c r="D53" s="1">
        <v>52</v>
      </c>
      <c r="E53" s="9">
        <f>SUMIFS(hmov[CANTIDAD],hmov[IDPRODUCTO],prod[[#This Row],[IDPROD]],hmov[INOUT],1)-SUMIFS(hmov[CANTIDAD],hmov[IDPRODUCTO],prod[[#This Row],[IDPROD]],hmov[INOUT],0)</f>
        <v>0</v>
      </c>
    </row>
    <row r="54" spans="1:5" x14ac:dyDescent="0.25">
      <c r="A54" t="s">
        <v>120</v>
      </c>
      <c r="B54" t="s">
        <v>85</v>
      </c>
      <c r="C54" t="s">
        <v>102</v>
      </c>
      <c r="D54" s="1">
        <v>53</v>
      </c>
      <c r="E54" s="9">
        <f>SUMIFS(hmov[CANTIDAD],hmov[IDPRODUCTO],prod[[#This Row],[IDPROD]],hmov[INOUT],1)-SUMIFS(hmov[CANTIDAD],hmov[IDPRODUCTO],prod[[#This Row],[IDPROD]],hmov[INOUT],0)</f>
        <v>0</v>
      </c>
    </row>
    <row r="55" spans="1:5" x14ac:dyDescent="0.25">
      <c r="A55" t="s">
        <v>121</v>
      </c>
      <c r="B55" t="s">
        <v>85</v>
      </c>
      <c r="C55" t="s">
        <v>102</v>
      </c>
      <c r="D55" s="1">
        <v>54</v>
      </c>
      <c r="E55" s="9">
        <f>SUMIFS(hmov[CANTIDAD],hmov[IDPRODUCTO],prod[[#This Row],[IDPROD]],hmov[INOUT],1)-SUMIFS(hmov[CANTIDAD],hmov[IDPRODUCTO],prod[[#This Row],[IDPROD]],hmov[INOUT],0)</f>
        <v>0</v>
      </c>
    </row>
    <row r="56" spans="1:5" x14ac:dyDescent="0.25">
      <c r="A56" t="s">
        <v>122</v>
      </c>
      <c r="B56" t="s">
        <v>85</v>
      </c>
      <c r="C56" t="s">
        <v>102</v>
      </c>
      <c r="D56" s="1">
        <v>55</v>
      </c>
      <c r="E56" s="9">
        <f>SUMIFS(hmov[CANTIDAD],hmov[IDPRODUCTO],prod[[#This Row],[IDPROD]],hmov[INOUT],1)-SUMIFS(hmov[CANTIDAD],hmov[IDPRODUCTO],prod[[#This Row],[IDPROD]],hmov[INOUT],0)</f>
        <v>0</v>
      </c>
    </row>
    <row r="57" spans="1:5" x14ac:dyDescent="0.25">
      <c r="A57" t="s">
        <v>123</v>
      </c>
      <c r="B57" t="s">
        <v>85</v>
      </c>
      <c r="C57" t="s">
        <v>102</v>
      </c>
      <c r="D57" s="1">
        <v>56</v>
      </c>
      <c r="E57" s="9">
        <f>SUMIFS(hmov[CANTIDAD],hmov[IDPRODUCTO],prod[[#This Row],[IDPROD]],hmov[INOUT],1)-SUMIFS(hmov[CANTIDAD],hmov[IDPRODUCTO],prod[[#This Row],[IDPROD]],hmov[INOUT],0)</f>
        <v>0</v>
      </c>
    </row>
    <row r="58" spans="1:5" x14ac:dyDescent="0.25">
      <c r="A58" t="s">
        <v>124</v>
      </c>
      <c r="B58" t="s">
        <v>85</v>
      </c>
      <c r="C58" t="s">
        <v>102</v>
      </c>
      <c r="D58" s="1">
        <v>57</v>
      </c>
      <c r="E58" s="9">
        <f>SUMIFS(hmov[CANTIDAD],hmov[IDPRODUCTO],prod[[#This Row],[IDPROD]],hmov[INOUT],1)-SUMIFS(hmov[CANTIDAD],hmov[IDPRODUCTO],prod[[#This Row],[IDPROD]],hmov[INOUT],0)</f>
        <v>0</v>
      </c>
    </row>
    <row r="59" spans="1:5" x14ac:dyDescent="0.25">
      <c r="A59" t="s">
        <v>125</v>
      </c>
      <c r="B59" t="s">
        <v>69</v>
      </c>
      <c r="C59" t="s">
        <v>67</v>
      </c>
      <c r="D59" s="1">
        <v>58</v>
      </c>
      <c r="E59" s="9">
        <f>SUMIFS(hmov[CANTIDAD],hmov[IDPRODUCTO],prod[[#This Row],[IDPROD]],hmov[INOUT],1)-SUMIFS(hmov[CANTIDAD],hmov[IDPRODUCTO],prod[[#This Row],[IDPROD]],hmov[INOUT],0)</f>
        <v>0</v>
      </c>
    </row>
    <row r="60" spans="1:5" x14ac:dyDescent="0.25">
      <c r="A60" t="s">
        <v>126</v>
      </c>
      <c r="B60" t="s">
        <v>85</v>
      </c>
      <c r="C60" t="s">
        <v>127</v>
      </c>
      <c r="D60" s="1">
        <v>59</v>
      </c>
      <c r="E60" s="9">
        <f>SUMIFS(hmov[CANTIDAD],hmov[IDPRODUCTO],prod[[#This Row],[IDPROD]],hmov[INOUT],1)-SUMIFS(hmov[CANTIDAD],hmov[IDPRODUCTO],prod[[#This Row],[IDPROD]],hmov[INOUT],0)</f>
        <v>0</v>
      </c>
    </row>
    <row r="61" spans="1:5" x14ac:dyDescent="0.25">
      <c r="A61" t="s">
        <v>128</v>
      </c>
      <c r="B61" t="s">
        <v>85</v>
      </c>
      <c r="C61" t="s">
        <v>127</v>
      </c>
      <c r="D61" s="1">
        <v>60</v>
      </c>
      <c r="E61" s="9">
        <f>SUMIFS(hmov[CANTIDAD],hmov[IDPRODUCTO],prod[[#This Row],[IDPROD]],hmov[INOUT],1)-SUMIFS(hmov[CANTIDAD],hmov[IDPRODUCTO],prod[[#This Row],[IDPROD]],hmov[INOUT],0)</f>
        <v>0</v>
      </c>
    </row>
    <row r="62" spans="1:5" x14ac:dyDescent="0.25">
      <c r="A62" t="s">
        <v>129</v>
      </c>
      <c r="B62" t="s">
        <v>85</v>
      </c>
      <c r="C62" t="s">
        <v>127</v>
      </c>
      <c r="D62" s="1">
        <v>61</v>
      </c>
      <c r="E62" s="9">
        <f>SUMIFS(hmov[CANTIDAD],hmov[IDPRODUCTO],prod[[#This Row],[IDPROD]],hmov[INOUT],1)-SUMIFS(hmov[CANTIDAD],hmov[IDPRODUCTO],prod[[#This Row],[IDPROD]],hmov[INOUT],0)</f>
        <v>0</v>
      </c>
    </row>
    <row r="63" spans="1:5" x14ac:dyDescent="0.25">
      <c r="A63" t="s">
        <v>130</v>
      </c>
      <c r="B63" t="s">
        <v>85</v>
      </c>
      <c r="C63" t="s">
        <v>127</v>
      </c>
      <c r="D63" s="1">
        <v>62</v>
      </c>
      <c r="E63" s="9">
        <f>SUMIFS(hmov[CANTIDAD],hmov[IDPRODUCTO],prod[[#This Row],[IDPROD]],hmov[INOUT],1)-SUMIFS(hmov[CANTIDAD],hmov[IDPRODUCTO],prod[[#This Row],[IDPROD]],hmov[INOUT],0)</f>
        <v>0</v>
      </c>
    </row>
    <row r="64" spans="1:5" x14ac:dyDescent="0.25">
      <c r="A64" t="s">
        <v>131</v>
      </c>
      <c r="B64" t="s">
        <v>85</v>
      </c>
      <c r="C64" t="s">
        <v>127</v>
      </c>
      <c r="D64" s="1">
        <v>63</v>
      </c>
      <c r="E64" s="9">
        <f>SUMIFS(hmov[CANTIDAD],hmov[IDPRODUCTO],prod[[#This Row],[IDPROD]],hmov[INOUT],1)-SUMIFS(hmov[CANTIDAD],hmov[IDPRODUCTO],prod[[#This Row],[IDPROD]],hmov[INOUT],0)</f>
        <v>0</v>
      </c>
    </row>
    <row r="65" spans="1:5" x14ac:dyDescent="0.25">
      <c r="A65" t="s">
        <v>132</v>
      </c>
      <c r="B65" t="s">
        <v>85</v>
      </c>
      <c r="C65" t="s">
        <v>127</v>
      </c>
      <c r="D65" s="1">
        <v>64</v>
      </c>
      <c r="E65" s="9">
        <f>SUMIFS(hmov[CANTIDAD],hmov[IDPRODUCTO],prod[[#This Row],[IDPROD]],hmov[INOUT],1)-SUMIFS(hmov[CANTIDAD],hmov[IDPRODUCTO],prod[[#This Row],[IDPROD]],hmov[INOUT],0)</f>
        <v>0</v>
      </c>
    </row>
    <row r="66" spans="1:5" x14ac:dyDescent="0.25">
      <c r="A66" t="s">
        <v>133</v>
      </c>
      <c r="B66" t="s">
        <v>85</v>
      </c>
      <c r="C66" t="s">
        <v>127</v>
      </c>
      <c r="D66" s="1">
        <v>65</v>
      </c>
      <c r="E66" s="9">
        <f>SUMIFS(hmov[CANTIDAD],hmov[IDPRODUCTO],prod[[#This Row],[IDPROD]],hmov[INOUT],1)-SUMIFS(hmov[CANTIDAD],hmov[IDPRODUCTO],prod[[#This Row],[IDPROD]],hmov[INOUT],0)</f>
        <v>0</v>
      </c>
    </row>
    <row r="67" spans="1:5" x14ac:dyDescent="0.25">
      <c r="A67" t="s">
        <v>134</v>
      </c>
      <c r="B67" t="s">
        <v>85</v>
      </c>
      <c r="C67" t="s">
        <v>127</v>
      </c>
      <c r="D67" s="1">
        <v>66</v>
      </c>
      <c r="E67" s="9">
        <f>SUMIFS(hmov[CANTIDAD],hmov[IDPRODUCTO],prod[[#This Row],[IDPROD]],hmov[INOUT],1)-SUMIFS(hmov[CANTIDAD],hmov[IDPRODUCTO],prod[[#This Row],[IDPROD]],hmov[INOUT],0)</f>
        <v>0</v>
      </c>
    </row>
    <row r="68" spans="1:5" x14ac:dyDescent="0.25">
      <c r="A68" t="s">
        <v>108</v>
      </c>
      <c r="B68" t="s">
        <v>85</v>
      </c>
      <c r="C68" t="s">
        <v>135</v>
      </c>
      <c r="D68" s="1">
        <v>67</v>
      </c>
      <c r="E68" s="9">
        <f>SUMIFS(hmov[CANTIDAD],hmov[IDPRODUCTO],prod[[#This Row],[IDPROD]],hmov[INOUT],1)-SUMIFS(hmov[CANTIDAD],hmov[IDPRODUCTO],prod[[#This Row],[IDPROD]],hmov[INOUT],0)</f>
        <v>0</v>
      </c>
    </row>
    <row r="69" spans="1:5" x14ac:dyDescent="0.25">
      <c r="A69" t="s">
        <v>113</v>
      </c>
      <c r="B69" t="s">
        <v>85</v>
      </c>
      <c r="C69" t="s">
        <v>135</v>
      </c>
      <c r="D69" s="1">
        <v>68</v>
      </c>
      <c r="E69" s="9">
        <f>SUMIFS(hmov[CANTIDAD],hmov[IDPRODUCTO],prod[[#This Row],[IDPROD]],hmov[INOUT],1)-SUMIFS(hmov[CANTIDAD],hmov[IDPRODUCTO],prod[[#This Row],[IDPROD]],hmov[INOUT],0)</f>
        <v>0</v>
      </c>
    </row>
    <row r="70" spans="1:5" x14ac:dyDescent="0.25">
      <c r="A70" t="s">
        <v>136</v>
      </c>
      <c r="B70" t="s">
        <v>85</v>
      </c>
      <c r="C70" t="s">
        <v>135</v>
      </c>
      <c r="D70" s="1">
        <v>69</v>
      </c>
      <c r="E70" s="9">
        <f>SUMIFS(hmov[CANTIDAD],hmov[IDPRODUCTO],prod[[#This Row],[IDPROD]],hmov[INOUT],1)-SUMIFS(hmov[CANTIDAD],hmov[IDPRODUCTO],prod[[#This Row],[IDPROD]],hmov[INOUT],0)</f>
        <v>0</v>
      </c>
    </row>
    <row r="71" spans="1:5" x14ac:dyDescent="0.25">
      <c r="A71" t="s">
        <v>106</v>
      </c>
      <c r="B71" t="s">
        <v>85</v>
      </c>
      <c r="C71" t="s">
        <v>135</v>
      </c>
      <c r="D71" s="1">
        <v>70</v>
      </c>
      <c r="E71" s="9">
        <f>SUMIFS(hmov[CANTIDAD],hmov[IDPRODUCTO],prod[[#This Row],[IDPROD]],hmov[INOUT],1)-SUMIFS(hmov[CANTIDAD],hmov[IDPRODUCTO],prod[[#This Row],[IDPROD]],hmov[INOUT],0)</f>
        <v>0</v>
      </c>
    </row>
    <row r="72" spans="1:5" x14ac:dyDescent="0.25">
      <c r="A72" t="s">
        <v>114</v>
      </c>
      <c r="B72" t="s">
        <v>85</v>
      </c>
      <c r="C72" t="s">
        <v>135</v>
      </c>
      <c r="D72" s="1">
        <v>71</v>
      </c>
      <c r="E72" s="9">
        <f>SUMIFS(hmov[CANTIDAD],hmov[IDPRODUCTO],prod[[#This Row],[IDPROD]],hmov[INOUT],1)-SUMIFS(hmov[CANTIDAD],hmov[IDPRODUCTO],prod[[#This Row],[IDPROD]],hmov[INOUT],0)</f>
        <v>0</v>
      </c>
    </row>
    <row r="73" spans="1:5" x14ac:dyDescent="0.25">
      <c r="A73" t="s">
        <v>115</v>
      </c>
      <c r="B73" t="s">
        <v>85</v>
      </c>
      <c r="C73" t="s">
        <v>135</v>
      </c>
      <c r="D73" s="1">
        <v>72</v>
      </c>
      <c r="E73" s="9">
        <f>SUMIFS(hmov[CANTIDAD],hmov[IDPRODUCTO],prod[[#This Row],[IDPROD]],hmov[INOUT],1)-SUMIFS(hmov[CANTIDAD],hmov[IDPRODUCTO],prod[[#This Row],[IDPROD]],hmov[INOUT],0)</f>
        <v>0</v>
      </c>
    </row>
    <row r="74" spans="1:5" x14ac:dyDescent="0.25">
      <c r="A74" t="s">
        <v>122</v>
      </c>
      <c r="B74" t="s">
        <v>85</v>
      </c>
      <c r="C74" t="s">
        <v>135</v>
      </c>
      <c r="D74" s="1">
        <v>73</v>
      </c>
      <c r="E74" s="9">
        <f>SUMIFS(hmov[CANTIDAD],hmov[IDPRODUCTO],prod[[#This Row],[IDPROD]],hmov[INOUT],1)-SUMIFS(hmov[CANTIDAD],hmov[IDPRODUCTO],prod[[#This Row],[IDPROD]],hmov[INOUT],0)</f>
        <v>0</v>
      </c>
    </row>
    <row r="75" spans="1:5" x14ac:dyDescent="0.25">
      <c r="A75" t="s">
        <v>137</v>
      </c>
      <c r="B75" t="s">
        <v>85</v>
      </c>
      <c r="C75" t="s">
        <v>135</v>
      </c>
      <c r="D75" s="1">
        <v>74</v>
      </c>
      <c r="E75" s="9">
        <f>SUMIFS(hmov[CANTIDAD],hmov[IDPRODUCTO],prod[[#This Row],[IDPROD]],hmov[INOUT],1)-SUMIFS(hmov[CANTIDAD],hmov[IDPRODUCTO],prod[[#This Row],[IDPROD]],hmov[INOUT],0)</f>
        <v>0</v>
      </c>
    </row>
    <row r="76" spans="1:5" x14ac:dyDescent="0.25">
      <c r="A76" t="s">
        <v>138</v>
      </c>
      <c r="B76" t="s">
        <v>85</v>
      </c>
      <c r="C76" t="s">
        <v>135</v>
      </c>
      <c r="D76" s="1">
        <v>75</v>
      </c>
      <c r="E76" s="9">
        <f>SUMIFS(hmov[CANTIDAD],hmov[IDPRODUCTO],prod[[#This Row],[IDPROD]],hmov[INOUT],1)-SUMIFS(hmov[CANTIDAD],hmov[IDPRODUCTO],prod[[#This Row],[IDPROD]],hmov[INOUT],0)</f>
        <v>0</v>
      </c>
    </row>
    <row r="77" spans="1:5" x14ac:dyDescent="0.25">
      <c r="A77" t="s">
        <v>139</v>
      </c>
      <c r="B77" t="s">
        <v>85</v>
      </c>
      <c r="C77" t="s">
        <v>135</v>
      </c>
      <c r="D77" s="1">
        <v>76</v>
      </c>
      <c r="E77" s="9">
        <f>SUMIFS(hmov[CANTIDAD],hmov[IDPRODUCTO],prod[[#This Row],[IDPROD]],hmov[INOUT],1)-SUMIFS(hmov[CANTIDAD],hmov[IDPRODUCTO],prod[[#This Row],[IDPROD]],hmov[INOUT],0)</f>
        <v>0</v>
      </c>
    </row>
    <row r="78" spans="1:5" x14ac:dyDescent="0.25">
      <c r="A78" t="s">
        <v>123</v>
      </c>
      <c r="B78" t="s">
        <v>85</v>
      </c>
      <c r="C78" t="s">
        <v>135</v>
      </c>
      <c r="D78" s="1">
        <v>77</v>
      </c>
      <c r="E78" s="9">
        <f>SUMIFS(hmov[CANTIDAD],hmov[IDPRODUCTO],prod[[#This Row],[IDPROD]],hmov[INOUT],1)-SUMIFS(hmov[CANTIDAD],hmov[IDPRODUCTO],prod[[#This Row],[IDPROD]],hmov[INOUT],0)</f>
        <v>0</v>
      </c>
    </row>
    <row r="79" spans="1:5" x14ac:dyDescent="0.25">
      <c r="A79" t="s">
        <v>101</v>
      </c>
      <c r="B79" t="s">
        <v>85</v>
      </c>
      <c r="C79" t="s">
        <v>135</v>
      </c>
      <c r="D79" s="1">
        <v>78</v>
      </c>
      <c r="E79" s="9">
        <f>SUMIFS(hmov[CANTIDAD],hmov[IDPRODUCTO],prod[[#This Row],[IDPROD]],hmov[INOUT],1)-SUMIFS(hmov[CANTIDAD],hmov[IDPRODUCTO],prod[[#This Row],[IDPROD]],hmov[INOUT],0)</f>
        <v>0</v>
      </c>
    </row>
    <row r="80" spans="1:5" x14ac:dyDescent="0.25">
      <c r="A80" t="s">
        <v>140</v>
      </c>
      <c r="B80" t="s">
        <v>85</v>
      </c>
      <c r="C80" t="s">
        <v>135</v>
      </c>
      <c r="D80" s="1">
        <v>79</v>
      </c>
      <c r="E80" s="9">
        <f>SUMIFS(hmov[CANTIDAD],hmov[IDPRODUCTO],prod[[#This Row],[IDPROD]],hmov[INOUT],1)-SUMIFS(hmov[CANTIDAD],hmov[IDPRODUCTO],prod[[#This Row],[IDPROD]],hmov[INOUT],0)</f>
        <v>0</v>
      </c>
    </row>
    <row r="81" spans="1:5" x14ac:dyDescent="0.25">
      <c r="A81" t="s">
        <v>116</v>
      </c>
      <c r="B81" t="s">
        <v>85</v>
      </c>
      <c r="C81" t="s">
        <v>135</v>
      </c>
      <c r="D81" s="1">
        <v>80</v>
      </c>
      <c r="E81" s="9">
        <f>SUMIFS(hmov[CANTIDAD],hmov[IDPRODUCTO],prod[[#This Row],[IDPROD]],hmov[INOUT],1)-SUMIFS(hmov[CANTIDAD],hmov[IDPRODUCTO],prod[[#This Row],[IDPROD]],hmov[INOUT],0)</f>
        <v>0</v>
      </c>
    </row>
    <row r="82" spans="1:5" x14ac:dyDescent="0.25">
      <c r="A82" t="s">
        <v>117</v>
      </c>
      <c r="B82" t="s">
        <v>85</v>
      </c>
      <c r="C82" t="s">
        <v>135</v>
      </c>
      <c r="D82" s="1">
        <v>81</v>
      </c>
      <c r="E82" s="9">
        <f>SUMIFS(hmov[CANTIDAD],hmov[IDPRODUCTO],prod[[#This Row],[IDPROD]],hmov[INOUT],1)-SUMIFS(hmov[CANTIDAD],hmov[IDPRODUCTO],prod[[#This Row],[IDPROD]],hmov[INOUT],0)</f>
        <v>0</v>
      </c>
    </row>
    <row r="83" spans="1:5" x14ac:dyDescent="0.25">
      <c r="A83" t="s">
        <v>141</v>
      </c>
      <c r="B83" t="s">
        <v>85</v>
      </c>
      <c r="C83" t="s">
        <v>135</v>
      </c>
      <c r="D83" s="1">
        <v>82</v>
      </c>
      <c r="E83" s="9">
        <f>SUMIFS(hmov[CANTIDAD],hmov[IDPRODUCTO],prod[[#This Row],[IDPROD]],hmov[INOUT],1)-SUMIFS(hmov[CANTIDAD],hmov[IDPRODUCTO],prod[[#This Row],[IDPROD]],hmov[INOUT],0)</f>
        <v>0</v>
      </c>
    </row>
    <row r="84" spans="1:5" x14ac:dyDescent="0.25">
      <c r="A84" t="s">
        <v>103</v>
      </c>
      <c r="B84" t="s">
        <v>85</v>
      </c>
      <c r="C84" t="s">
        <v>135</v>
      </c>
      <c r="D84" s="1">
        <v>83</v>
      </c>
      <c r="E84" s="9">
        <f>SUMIFS(hmov[CANTIDAD],hmov[IDPRODUCTO],prod[[#This Row],[IDPROD]],hmov[INOUT],1)-SUMIFS(hmov[CANTIDAD],hmov[IDPRODUCTO],prod[[#This Row],[IDPROD]],hmov[INOUT],0)</f>
        <v>0</v>
      </c>
    </row>
    <row r="85" spans="1:5" x14ac:dyDescent="0.25">
      <c r="A85" t="s">
        <v>142</v>
      </c>
      <c r="B85" t="s">
        <v>85</v>
      </c>
      <c r="C85" t="s">
        <v>135</v>
      </c>
      <c r="D85" s="1">
        <v>84</v>
      </c>
      <c r="E85" s="9">
        <f>SUMIFS(hmov[CANTIDAD],hmov[IDPRODUCTO],prod[[#This Row],[IDPROD]],hmov[INOUT],1)-SUMIFS(hmov[CANTIDAD],hmov[IDPRODUCTO],prod[[#This Row],[IDPROD]],hmov[INOUT],0)</f>
        <v>0</v>
      </c>
    </row>
    <row r="86" spans="1:5" x14ac:dyDescent="0.25">
      <c r="A86" t="s">
        <v>143</v>
      </c>
      <c r="B86" t="s">
        <v>85</v>
      </c>
      <c r="C86" t="s">
        <v>135</v>
      </c>
      <c r="D86" s="1">
        <v>85</v>
      </c>
      <c r="E86" s="9">
        <f>SUMIFS(hmov[CANTIDAD],hmov[IDPRODUCTO],prod[[#This Row],[IDPROD]],hmov[INOUT],1)-SUMIFS(hmov[CANTIDAD],hmov[IDPRODUCTO],prod[[#This Row],[IDPROD]],hmov[INOUT],0)</f>
        <v>0</v>
      </c>
    </row>
    <row r="87" spans="1:5" x14ac:dyDescent="0.25">
      <c r="A87" t="s">
        <v>111</v>
      </c>
      <c r="B87" t="s">
        <v>85</v>
      </c>
      <c r="C87" t="s">
        <v>135</v>
      </c>
      <c r="D87" s="1">
        <v>86</v>
      </c>
      <c r="E87" s="9">
        <f>SUMIFS(hmov[CANTIDAD],hmov[IDPRODUCTO],prod[[#This Row],[IDPROD]],hmov[INOUT],1)-SUMIFS(hmov[CANTIDAD],hmov[IDPRODUCTO],prod[[#This Row],[IDPROD]],hmov[INOUT],0)</f>
        <v>0</v>
      </c>
    </row>
    <row r="88" spans="1:5" x14ac:dyDescent="0.25">
      <c r="A88" t="s">
        <v>110</v>
      </c>
      <c r="B88" t="s">
        <v>85</v>
      </c>
      <c r="C88" t="s">
        <v>135</v>
      </c>
      <c r="D88" s="1">
        <v>87</v>
      </c>
      <c r="E88" s="9">
        <f>SUMIFS(hmov[CANTIDAD],hmov[IDPRODUCTO],prod[[#This Row],[IDPROD]],hmov[INOUT],1)-SUMIFS(hmov[CANTIDAD],hmov[IDPRODUCTO],prod[[#This Row],[IDPROD]],hmov[INOUT],0)</f>
        <v>0</v>
      </c>
    </row>
    <row r="89" spans="1:5" x14ac:dyDescent="0.25">
      <c r="A89" t="s">
        <v>144</v>
      </c>
      <c r="B89" t="s">
        <v>58</v>
      </c>
      <c r="C89" t="s">
        <v>59</v>
      </c>
      <c r="D89" s="1">
        <v>88</v>
      </c>
      <c r="E89" s="9">
        <f>SUMIFS(hmov[CANTIDAD],hmov[IDPRODUCTO],prod[[#This Row],[IDPROD]],hmov[INOUT],1)-SUMIFS(hmov[CANTIDAD],hmov[IDPRODUCTO],prod[[#This Row],[IDPROD]],hmov[INOUT],0)</f>
        <v>0</v>
      </c>
    </row>
    <row r="90" spans="1:5" x14ac:dyDescent="0.25">
      <c r="A90" t="s">
        <v>145</v>
      </c>
      <c r="B90" t="s">
        <v>58</v>
      </c>
      <c r="C90" t="s">
        <v>59</v>
      </c>
      <c r="D90" s="1">
        <v>89</v>
      </c>
      <c r="E90" s="9">
        <f>SUMIFS(hmov[CANTIDAD],hmov[IDPRODUCTO],prod[[#This Row],[IDPROD]],hmov[INOUT],1)-SUMIFS(hmov[CANTIDAD],hmov[IDPRODUCTO],prod[[#This Row],[IDPROD]],hmov[INOUT],0)</f>
        <v>0</v>
      </c>
    </row>
    <row r="91" spans="1:5" x14ac:dyDescent="0.25">
      <c r="A91" t="s">
        <v>146</v>
      </c>
      <c r="B91" t="s">
        <v>58</v>
      </c>
      <c r="C91" t="s">
        <v>59</v>
      </c>
      <c r="D91" s="1">
        <v>90</v>
      </c>
      <c r="E91" s="9">
        <f>SUMIFS(hmov[CANTIDAD],hmov[IDPRODUCTO],prod[[#This Row],[IDPROD]],hmov[INOUT],1)-SUMIFS(hmov[CANTIDAD],hmov[IDPRODUCTO],prod[[#This Row],[IDPROD]],hmov[INOUT],0)</f>
        <v>0</v>
      </c>
    </row>
    <row r="92" spans="1:5" x14ac:dyDescent="0.25">
      <c r="A92" t="s">
        <v>147</v>
      </c>
      <c r="B92" t="s">
        <v>66</v>
      </c>
      <c r="C92" t="s">
        <v>148</v>
      </c>
      <c r="D92" s="1">
        <v>91</v>
      </c>
      <c r="E92" s="9">
        <f>SUMIFS(hmov[CANTIDAD],hmov[IDPRODUCTO],prod[[#This Row],[IDPROD]],hmov[INOUT],1)-SUMIFS(hmov[CANTIDAD],hmov[IDPRODUCTO],prod[[#This Row],[IDPROD]],hmov[INOUT],0)</f>
        <v>0</v>
      </c>
    </row>
    <row r="93" spans="1:5" x14ac:dyDescent="0.25">
      <c r="A93" t="s">
        <v>149</v>
      </c>
      <c r="B93" t="s">
        <v>66</v>
      </c>
      <c r="C93" t="s">
        <v>148</v>
      </c>
      <c r="D93" s="1">
        <v>92</v>
      </c>
      <c r="E93" s="9">
        <f>SUMIFS(hmov[CANTIDAD],hmov[IDPRODUCTO],prod[[#This Row],[IDPROD]],hmov[INOUT],1)-SUMIFS(hmov[CANTIDAD],hmov[IDPRODUCTO],prod[[#This Row],[IDPROD]],hmov[INOUT],0)</f>
        <v>0</v>
      </c>
    </row>
    <row r="94" spans="1:5" x14ac:dyDescent="0.25">
      <c r="A94" t="s">
        <v>150</v>
      </c>
      <c r="B94" t="s">
        <v>66</v>
      </c>
      <c r="C94" t="s">
        <v>148</v>
      </c>
      <c r="D94" s="1">
        <v>93</v>
      </c>
      <c r="E94" s="9">
        <f>SUMIFS(hmov[CANTIDAD],hmov[IDPRODUCTO],prod[[#This Row],[IDPROD]],hmov[INOUT],1)-SUMIFS(hmov[CANTIDAD],hmov[IDPRODUCTO],prod[[#This Row],[IDPROD]],hmov[INOUT],0)</f>
        <v>0</v>
      </c>
    </row>
    <row r="95" spans="1:5" x14ac:dyDescent="0.25">
      <c r="A95" t="s">
        <v>151</v>
      </c>
      <c r="B95" t="s">
        <v>66</v>
      </c>
      <c r="C95" t="s">
        <v>148</v>
      </c>
      <c r="D95" s="1">
        <v>94</v>
      </c>
      <c r="E95" s="9">
        <f>SUMIFS(hmov[CANTIDAD],hmov[IDPRODUCTO],prod[[#This Row],[IDPROD]],hmov[INOUT],1)-SUMIFS(hmov[CANTIDAD],hmov[IDPRODUCTO],prod[[#This Row],[IDPROD]],hmov[INOUT],0)</f>
        <v>0</v>
      </c>
    </row>
    <row r="96" spans="1:5" x14ac:dyDescent="0.25">
      <c r="A96" t="s">
        <v>152</v>
      </c>
      <c r="B96" t="s">
        <v>153</v>
      </c>
      <c r="C96" t="s">
        <v>148</v>
      </c>
      <c r="D96" s="1">
        <v>95</v>
      </c>
      <c r="E96" s="9">
        <f>SUMIFS(hmov[CANTIDAD],hmov[IDPRODUCTO],prod[[#This Row],[IDPROD]],hmov[INOUT],1)-SUMIFS(hmov[CANTIDAD],hmov[IDPRODUCTO],prod[[#This Row],[IDPROD]],hmov[INOUT],0)</f>
        <v>0</v>
      </c>
    </row>
    <row r="97" spans="1:5" x14ac:dyDescent="0.25">
      <c r="A97" t="s">
        <v>154</v>
      </c>
      <c r="B97" t="s">
        <v>66</v>
      </c>
      <c r="C97" t="s">
        <v>148</v>
      </c>
      <c r="D97" s="1">
        <v>96</v>
      </c>
      <c r="E97" s="9">
        <f>SUMIFS(hmov[CANTIDAD],hmov[IDPRODUCTO],prod[[#This Row],[IDPROD]],hmov[INOUT],1)-SUMIFS(hmov[CANTIDAD],hmov[IDPRODUCTO],prod[[#This Row],[IDPROD]],hmov[INOUT],0)</f>
        <v>0</v>
      </c>
    </row>
    <row r="98" spans="1:5" x14ac:dyDescent="0.25">
      <c r="A98" t="s">
        <v>126</v>
      </c>
      <c r="B98" t="s">
        <v>66</v>
      </c>
      <c r="C98" t="s">
        <v>148</v>
      </c>
      <c r="D98" s="1">
        <v>97</v>
      </c>
      <c r="E98" s="9">
        <f>SUMIFS(hmov[CANTIDAD],hmov[IDPRODUCTO],prod[[#This Row],[IDPROD]],hmov[INOUT],1)-SUMIFS(hmov[CANTIDAD],hmov[IDPRODUCTO],prod[[#This Row],[IDPROD]],hmov[INOUT],0)</f>
        <v>0</v>
      </c>
    </row>
    <row r="99" spans="1:5" x14ac:dyDescent="0.25">
      <c r="A99" t="s">
        <v>155</v>
      </c>
      <c r="B99" t="s">
        <v>66</v>
      </c>
      <c r="C99" t="s">
        <v>148</v>
      </c>
      <c r="D99" s="1">
        <v>98</v>
      </c>
      <c r="E99" s="9">
        <f>SUMIFS(hmov[CANTIDAD],hmov[IDPRODUCTO],prod[[#This Row],[IDPROD]],hmov[INOUT],1)-SUMIFS(hmov[CANTIDAD],hmov[IDPRODUCTO],prod[[#This Row],[IDPROD]],hmov[INOUT],0)</f>
        <v>0</v>
      </c>
    </row>
    <row r="100" spans="1:5" x14ac:dyDescent="0.25">
      <c r="A100" t="s">
        <v>156</v>
      </c>
      <c r="B100" t="s">
        <v>66</v>
      </c>
      <c r="C100" t="s">
        <v>148</v>
      </c>
      <c r="D100" s="1">
        <v>99</v>
      </c>
      <c r="E100" s="9">
        <f>SUMIFS(hmov[CANTIDAD],hmov[IDPRODUCTO],prod[[#This Row],[IDPROD]],hmov[INOUT],1)-SUMIFS(hmov[CANTIDAD],hmov[IDPRODUCTO],prod[[#This Row],[IDPROD]],hmov[INOUT],0)</f>
        <v>0</v>
      </c>
    </row>
    <row r="101" spans="1:5" x14ac:dyDescent="0.25">
      <c r="A101" t="s">
        <v>157</v>
      </c>
      <c r="B101" t="s">
        <v>66</v>
      </c>
      <c r="C101" t="s">
        <v>148</v>
      </c>
      <c r="D101" s="1">
        <v>100</v>
      </c>
      <c r="E101" s="9">
        <f>SUMIFS(hmov[CANTIDAD],hmov[IDPRODUCTO],prod[[#This Row],[IDPROD]],hmov[INOUT],1)-SUMIFS(hmov[CANTIDAD],hmov[IDPRODUCTO],prod[[#This Row],[IDPROD]],hmov[INOUT],0)</f>
        <v>0</v>
      </c>
    </row>
    <row r="102" spans="1:5" x14ac:dyDescent="0.25">
      <c r="A102" t="s">
        <v>158</v>
      </c>
      <c r="B102" t="s">
        <v>66</v>
      </c>
      <c r="C102" t="s">
        <v>148</v>
      </c>
      <c r="D102" s="1">
        <v>101</v>
      </c>
      <c r="E102" s="9">
        <f>SUMIFS(hmov[CANTIDAD],hmov[IDPRODUCTO],prod[[#This Row],[IDPROD]],hmov[INOUT],1)-SUMIFS(hmov[CANTIDAD],hmov[IDPRODUCTO],prod[[#This Row],[IDPROD]],hmov[INOUT],0)</f>
        <v>0</v>
      </c>
    </row>
    <row r="103" spans="1:5" x14ac:dyDescent="0.25">
      <c r="A103" t="s">
        <v>159</v>
      </c>
      <c r="B103" t="s">
        <v>66</v>
      </c>
      <c r="C103" t="s">
        <v>148</v>
      </c>
      <c r="D103" s="1">
        <v>102</v>
      </c>
      <c r="E103" s="9">
        <f>SUMIFS(hmov[CANTIDAD],hmov[IDPRODUCTO],prod[[#This Row],[IDPROD]],hmov[INOUT],1)-SUMIFS(hmov[CANTIDAD],hmov[IDPRODUCTO],prod[[#This Row],[IDPROD]],hmov[INOUT],0)</f>
        <v>0</v>
      </c>
    </row>
    <row r="104" spans="1:5" x14ac:dyDescent="0.25">
      <c r="A104" t="s">
        <v>160</v>
      </c>
      <c r="B104" t="s">
        <v>66</v>
      </c>
      <c r="C104" t="s">
        <v>148</v>
      </c>
      <c r="D104" s="1">
        <v>103</v>
      </c>
      <c r="E104" s="9">
        <f>SUMIFS(hmov[CANTIDAD],hmov[IDPRODUCTO],prod[[#This Row],[IDPROD]],hmov[INOUT],1)-SUMIFS(hmov[CANTIDAD],hmov[IDPRODUCTO],prod[[#This Row],[IDPROD]],hmov[INOUT],0)</f>
        <v>0</v>
      </c>
    </row>
    <row r="105" spans="1:5" x14ac:dyDescent="0.25">
      <c r="A105" t="s">
        <v>161</v>
      </c>
      <c r="B105" t="s">
        <v>66</v>
      </c>
      <c r="C105" t="s">
        <v>148</v>
      </c>
      <c r="D105" s="1">
        <v>104</v>
      </c>
      <c r="E105" s="9">
        <f>SUMIFS(hmov[CANTIDAD],hmov[IDPRODUCTO],prod[[#This Row],[IDPROD]],hmov[INOUT],1)-SUMIFS(hmov[CANTIDAD],hmov[IDPRODUCTO],prod[[#This Row],[IDPROD]],hmov[INOUT],0)</f>
        <v>0</v>
      </c>
    </row>
    <row r="106" spans="1:5" x14ac:dyDescent="0.25">
      <c r="A106" t="s">
        <v>162</v>
      </c>
      <c r="B106" t="s">
        <v>66</v>
      </c>
      <c r="C106" t="s">
        <v>148</v>
      </c>
      <c r="D106" s="1">
        <v>105</v>
      </c>
      <c r="E106" s="9">
        <f>SUMIFS(hmov[CANTIDAD],hmov[IDPRODUCTO],prod[[#This Row],[IDPROD]],hmov[INOUT],1)-SUMIFS(hmov[CANTIDAD],hmov[IDPRODUCTO],prod[[#This Row],[IDPROD]],hmov[INOUT],0)</f>
        <v>0</v>
      </c>
    </row>
  </sheetData>
  <dataValidations count="1">
    <dataValidation type="list" allowBlank="1" showInputMessage="1" showErrorMessage="1" sqref="C2:C106" xr:uid="{F29B0EAA-4854-48DC-8608-23FF0F444CB7}">
      <formula1>"IMMULITE,FUJI,COMPUTO,PAPELERIA,QUIRURJICO,SYSMEX BH,SPINREACT,ACT 5 DIFF,MINDRAY BC3200,PIPETAS,ECLIPSE APEXBIO,NIHON KOHDEN,LIMPIEZA,MICROBIOLOGIA,GARRAFONES,SUPLEMENTOS,PRUEBAS RAPIDAS,JERINGAS,TUBOS,GETEIN 1100"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F232D-C5F2-4D8A-85F0-0CE01EDDF91E}">
  <sheetPr codeName="prov">
    <tabColor theme="6" tint="0.39997558519241921"/>
  </sheetPr>
  <dimension ref="A1:B10"/>
  <sheetViews>
    <sheetView workbookViewId="0">
      <selection activeCell="A11" sqref="A11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18</v>
      </c>
      <c r="B1" t="s">
        <v>30</v>
      </c>
    </row>
    <row r="2" spans="1:2" x14ac:dyDescent="0.25">
      <c r="A2" t="s">
        <v>102</v>
      </c>
      <c r="B2" s="1">
        <v>1</v>
      </c>
    </row>
    <row r="3" spans="1:2" x14ac:dyDescent="0.25">
      <c r="A3" t="s">
        <v>163</v>
      </c>
      <c r="B3" s="1">
        <v>2</v>
      </c>
    </row>
    <row r="4" spans="1:2" x14ac:dyDescent="0.25">
      <c r="A4" t="s">
        <v>164</v>
      </c>
      <c r="B4" s="1">
        <v>3</v>
      </c>
    </row>
    <row r="5" spans="1:2" x14ac:dyDescent="0.25">
      <c r="A5" t="s">
        <v>165</v>
      </c>
      <c r="B5" s="1">
        <v>4</v>
      </c>
    </row>
    <row r="6" spans="1:2" x14ac:dyDescent="0.25">
      <c r="A6" t="s">
        <v>166</v>
      </c>
      <c r="B6" s="1">
        <v>5</v>
      </c>
    </row>
    <row r="7" spans="1:2" x14ac:dyDescent="0.25">
      <c r="A7" t="s">
        <v>167</v>
      </c>
      <c r="B7" s="1">
        <v>6</v>
      </c>
    </row>
    <row r="8" spans="1:2" x14ac:dyDescent="0.25">
      <c r="A8" t="s">
        <v>168</v>
      </c>
      <c r="B8" s="1">
        <v>7</v>
      </c>
    </row>
    <row r="9" spans="1:2" x14ac:dyDescent="0.25">
      <c r="A9" t="s">
        <v>169</v>
      </c>
      <c r="B9" s="1">
        <v>8</v>
      </c>
    </row>
    <row r="10" spans="1:2" x14ac:dyDescent="0.25">
      <c r="A10" t="s">
        <v>170</v>
      </c>
      <c r="B10" s="1">
        <v>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4D817-B563-4DE8-B4B9-19853C387178}">
  <sheetPr codeName="suc">
    <tabColor theme="6" tint="0.39997558519241921"/>
  </sheetPr>
  <dimension ref="A1:B8"/>
  <sheetViews>
    <sheetView workbookViewId="0">
      <selection activeCell="A9" sqref="A9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17</v>
      </c>
      <c r="B1" t="s">
        <v>31</v>
      </c>
    </row>
    <row r="2" spans="1:2" x14ac:dyDescent="0.25">
      <c r="A2" t="s">
        <v>171</v>
      </c>
      <c r="B2" s="1">
        <v>1</v>
      </c>
    </row>
    <row r="3" spans="1:2" x14ac:dyDescent="0.25">
      <c r="A3" t="s">
        <v>172</v>
      </c>
      <c r="B3" s="1">
        <v>2</v>
      </c>
    </row>
    <row r="4" spans="1:2" x14ac:dyDescent="0.25">
      <c r="A4" t="s">
        <v>173</v>
      </c>
      <c r="B4" s="1">
        <v>3</v>
      </c>
    </row>
    <row r="5" spans="1:2" x14ac:dyDescent="0.25">
      <c r="A5" t="s">
        <v>174</v>
      </c>
      <c r="B5" s="1">
        <v>4</v>
      </c>
    </row>
    <row r="6" spans="1:2" x14ac:dyDescent="0.25">
      <c r="A6" t="s">
        <v>175</v>
      </c>
      <c r="B6" s="1">
        <v>5</v>
      </c>
    </row>
    <row r="7" spans="1:2" x14ac:dyDescent="0.25">
      <c r="A7" t="s">
        <v>176</v>
      </c>
      <c r="B7" s="1">
        <v>6</v>
      </c>
    </row>
    <row r="8" spans="1:2" x14ac:dyDescent="0.25">
      <c r="A8" t="s">
        <v>177</v>
      </c>
      <c r="B8" s="1">
        <v>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AF825-3910-4336-A200-F482D48AF2AA}">
  <sheetPr codeName="ar">
    <tabColor theme="6" tint="0.39997558519241921"/>
  </sheetPr>
  <dimension ref="A1:B21"/>
  <sheetViews>
    <sheetView workbookViewId="0">
      <selection activeCell="A22" sqref="A22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27</v>
      </c>
      <c r="B1" t="s">
        <v>32</v>
      </c>
    </row>
    <row r="2" spans="1:2" x14ac:dyDescent="0.25">
      <c r="A2" t="s">
        <v>127</v>
      </c>
      <c r="B2" s="1">
        <v>1</v>
      </c>
    </row>
    <row r="3" spans="1:2" x14ac:dyDescent="0.25">
      <c r="A3" t="s">
        <v>135</v>
      </c>
      <c r="B3" s="1">
        <v>2</v>
      </c>
    </row>
    <row r="4" spans="1:2" x14ac:dyDescent="0.25">
      <c r="A4" t="s">
        <v>178</v>
      </c>
      <c r="B4" s="1">
        <v>3</v>
      </c>
    </row>
    <row r="5" spans="1:2" x14ac:dyDescent="0.25">
      <c r="A5" t="s">
        <v>71</v>
      </c>
      <c r="B5" s="1">
        <v>4</v>
      </c>
    </row>
    <row r="6" spans="1:2" x14ac:dyDescent="0.25">
      <c r="A6" t="s">
        <v>179</v>
      </c>
      <c r="B6" s="1">
        <v>5</v>
      </c>
    </row>
    <row r="7" spans="1:2" x14ac:dyDescent="0.25">
      <c r="A7" t="s">
        <v>180</v>
      </c>
      <c r="B7" s="1">
        <v>6</v>
      </c>
    </row>
    <row r="8" spans="1:2" x14ac:dyDescent="0.25">
      <c r="A8" t="s">
        <v>102</v>
      </c>
      <c r="B8" s="1">
        <v>7</v>
      </c>
    </row>
    <row r="9" spans="1:2" x14ac:dyDescent="0.25">
      <c r="A9" t="s">
        <v>181</v>
      </c>
      <c r="B9" s="1">
        <v>8</v>
      </c>
    </row>
    <row r="10" spans="1:2" x14ac:dyDescent="0.25">
      <c r="A10" t="s">
        <v>182</v>
      </c>
      <c r="B10" s="1">
        <v>9</v>
      </c>
    </row>
    <row r="11" spans="1:2" x14ac:dyDescent="0.25">
      <c r="A11" t="s">
        <v>183</v>
      </c>
      <c r="B11" s="1">
        <v>10</v>
      </c>
    </row>
    <row r="12" spans="1:2" x14ac:dyDescent="0.25">
      <c r="A12" t="s">
        <v>184</v>
      </c>
      <c r="B12" s="1">
        <v>11</v>
      </c>
    </row>
    <row r="13" spans="1:2" x14ac:dyDescent="0.25">
      <c r="A13" t="s">
        <v>185</v>
      </c>
      <c r="B13" s="1">
        <v>12</v>
      </c>
    </row>
    <row r="14" spans="1:2" x14ac:dyDescent="0.25">
      <c r="A14" t="s">
        <v>186</v>
      </c>
      <c r="B14" s="1">
        <v>13</v>
      </c>
    </row>
    <row r="15" spans="1:2" x14ac:dyDescent="0.25">
      <c r="A15" t="s">
        <v>59</v>
      </c>
      <c r="B15" s="1">
        <v>14</v>
      </c>
    </row>
    <row r="16" spans="1:2" x14ac:dyDescent="0.25">
      <c r="A16" t="s">
        <v>187</v>
      </c>
      <c r="B16" s="1">
        <v>15</v>
      </c>
    </row>
    <row r="17" spans="1:2" x14ac:dyDescent="0.25">
      <c r="A17" t="s">
        <v>67</v>
      </c>
      <c r="B17" s="1">
        <v>16</v>
      </c>
    </row>
    <row r="18" spans="1:2" x14ac:dyDescent="0.25">
      <c r="A18" t="s">
        <v>148</v>
      </c>
      <c r="B18" s="1">
        <v>17</v>
      </c>
    </row>
    <row r="19" spans="1:2" x14ac:dyDescent="0.25">
      <c r="A19" t="s">
        <v>86</v>
      </c>
      <c r="B19" s="1">
        <v>18</v>
      </c>
    </row>
    <row r="20" spans="1:2" x14ac:dyDescent="0.25">
      <c r="A20" t="s">
        <v>61</v>
      </c>
      <c r="B20" s="1">
        <v>19</v>
      </c>
    </row>
    <row r="21" spans="1:2" x14ac:dyDescent="0.25">
      <c r="A21" t="s">
        <v>188</v>
      </c>
      <c r="B21" s="1">
        <v>20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D6268-6784-4482-928A-A6AAFC07F15F}">
  <sheetPr codeName="tipmov">
    <tabColor theme="6" tint="0.39997558519241921"/>
  </sheetPr>
  <dimension ref="A1:C4"/>
  <sheetViews>
    <sheetView workbookViewId="0">
      <selection activeCell="A5" sqref="A5"/>
    </sheetView>
  </sheetViews>
  <sheetFormatPr baseColWidth="10" defaultRowHeight="15" x14ac:dyDescent="0.25"/>
  <cols>
    <col min="1" max="3" width="15.7109375" customWidth="1"/>
  </cols>
  <sheetData>
    <row r="1" spans="1:3" x14ac:dyDescent="0.25">
      <c r="A1" t="s">
        <v>33</v>
      </c>
      <c r="B1" t="s">
        <v>20</v>
      </c>
      <c r="C1" t="s">
        <v>34</v>
      </c>
    </row>
    <row r="2" spans="1:3" x14ac:dyDescent="0.25">
      <c r="A2" t="s">
        <v>0</v>
      </c>
      <c r="B2">
        <v>1</v>
      </c>
      <c r="C2" s="1">
        <v>1</v>
      </c>
    </row>
    <row r="3" spans="1:3" x14ac:dyDescent="0.25">
      <c r="A3" t="s">
        <v>1</v>
      </c>
      <c r="B3">
        <v>0</v>
      </c>
      <c r="C3" s="1">
        <v>2</v>
      </c>
    </row>
    <row r="4" spans="1:3" x14ac:dyDescent="0.25">
      <c r="A4" t="s">
        <v>4</v>
      </c>
      <c r="B4">
        <v>0</v>
      </c>
      <c r="C4" s="1">
        <v>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58BCA-2D7B-4A1A-A5CD-579641745E2B}">
  <sheetPr codeName="hmov">
    <tabColor theme="5" tint="0.79998168889431442"/>
  </sheetPr>
  <dimension ref="A1:M15"/>
  <sheetViews>
    <sheetView workbookViewId="0">
      <selection activeCell="A16" sqref="A16"/>
    </sheetView>
  </sheetViews>
  <sheetFormatPr baseColWidth="10" defaultRowHeight="15" x14ac:dyDescent="0.25"/>
  <cols>
    <col min="1" max="11" width="12.7109375" customWidth="1"/>
    <col min="12" max="12" width="11.42578125" customWidth="1"/>
    <col min="13" max="13" width="11.42578125" style="9" customWidth="1"/>
  </cols>
  <sheetData>
    <row r="1" spans="1:11" x14ac:dyDescent="0.25">
      <c r="A1" t="s">
        <v>16</v>
      </c>
      <c r="B1" t="s">
        <v>35</v>
      </c>
      <c r="C1" t="s">
        <v>34</v>
      </c>
      <c r="D1" t="s">
        <v>20</v>
      </c>
      <c r="E1" t="s">
        <v>31</v>
      </c>
      <c r="F1" t="s">
        <v>30</v>
      </c>
      <c r="G1" t="s">
        <v>36</v>
      </c>
      <c r="H1" t="s">
        <v>24</v>
      </c>
      <c r="I1" t="s">
        <v>37</v>
      </c>
      <c r="J1" t="s">
        <v>23</v>
      </c>
      <c r="K1" t="s">
        <v>25</v>
      </c>
    </row>
    <row r="2" spans="1:11" x14ac:dyDescent="0.25">
      <c r="A2" s="7">
        <v>44748</v>
      </c>
      <c r="B2" s="1">
        <v>1</v>
      </c>
      <c r="C2" s="1">
        <v>1</v>
      </c>
      <c r="D2" s="1">
        <v>1</v>
      </c>
      <c r="E2" s="1"/>
      <c r="F2" s="1">
        <v>0</v>
      </c>
      <c r="G2" s="1">
        <v>0</v>
      </c>
      <c r="H2" s="1">
        <v>0</v>
      </c>
      <c r="I2" s="1">
        <v>0</v>
      </c>
      <c r="J2" s="1">
        <v>9999999999999</v>
      </c>
      <c r="K2" s="7">
        <v>44748</v>
      </c>
    </row>
    <row r="3" spans="1:11" x14ac:dyDescent="0.25">
      <c r="A3" s="7">
        <v>44739</v>
      </c>
      <c r="B3" s="1">
        <v>1</v>
      </c>
      <c r="C3" s="1">
        <v>1</v>
      </c>
      <c r="D3" s="1">
        <v>1</v>
      </c>
      <c r="E3" s="1"/>
      <c r="F3" s="1"/>
      <c r="G3" s="1">
        <v>2</v>
      </c>
      <c r="H3" s="1">
        <v>20</v>
      </c>
      <c r="I3" s="1">
        <v>10</v>
      </c>
      <c r="J3" s="1" t="s">
        <v>40</v>
      </c>
      <c r="K3" s="7">
        <v>44740</v>
      </c>
    </row>
    <row r="4" spans="1:11" x14ac:dyDescent="0.25">
      <c r="A4" s="7">
        <v>44739</v>
      </c>
      <c r="B4" s="1">
        <v>2</v>
      </c>
      <c r="C4" s="1">
        <v>1</v>
      </c>
      <c r="D4" s="1">
        <v>1</v>
      </c>
      <c r="E4" s="1"/>
      <c r="F4" s="1">
        <v>2</v>
      </c>
      <c r="G4" s="1">
        <v>2</v>
      </c>
      <c r="H4" s="1">
        <v>20</v>
      </c>
      <c r="I4" s="1">
        <v>1</v>
      </c>
      <c r="J4" s="1">
        <v>1233</v>
      </c>
      <c r="K4" s="7">
        <v>44740</v>
      </c>
    </row>
    <row r="5" spans="1:11" x14ac:dyDescent="0.25">
      <c r="A5" s="7">
        <v>44739</v>
      </c>
      <c r="B5" s="1">
        <v>2</v>
      </c>
      <c r="C5" s="1">
        <v>1</v>
      </c>
      <c r="D5" s="1">
        <v>1</v>
      </c>
      <c r="E5" s="1"/>
      <c r="F5" s="1">
        <v>2</v>
      </c>
      <c r="G5" s="1">
        <v>3</v>
      </c>
      <c r="H5" s="1">
        <v>10</v>
      </c>
      <c r="I5" s="1">
        <v>2</v>
      </c>
      <c r="J5" s="1">
        <v>1222</v>
      </c>
      <c r="K5" s="7">
        <v>44740</v>
      </c>
    </row>
    <row r="6" spans="1:11" x14ac:dyDescent="0.25">
      <c r="A6" s="7">
        <v>44739</v>
      </c>
      <c r="B6" s="1">
        <v>3</v>
      </c>
      <c r="C6" s="1">
        <v>1</v>
      </c>
      <c r="D6" s="1">
        <v>1</v>
      </c>
      <c r="E6" s="1"/>
      <c r="F6" s="1">
        <v>1</v>
      </c>
      <c r="G6" s="1">
        <v>2</v>
      </c>
      <c r="H6" s="1">
        <v>5</v>
      </c>
      <c r="I6" s="1">
        <v>11</v>
      </c>
      <c r="J6" s="1">
        <v>1111</v>
      </c>
      <c r="K6" s="7">
        <v>44748</v>
      </c>
    </row>
    <row r="7" spans="1:11" x14ac:dyDescent="0.25">
      <c r="A7" s="7">
        <v>44739</v>
      </c>
      <c r="B7" s="1">
        <v>4</v>
      </c>
      <c r="C7" s="1">
        <v>1</v>
      </c>
      <c r="D7" s="1">
        <v>1</v>
      </c>
      <c r="E7" s="1"/>
      <c r="F7" s="1">
        <v>1</v>
      </c>
      <c r="G7" s="1">
        <v>2</v>
      </c>
      <c r="H7" s="1">
        <v>3</v>
      </c>
      <c r="I7" s="1">
        <v>11</v>
      </c>
      <c r="J7" s="1">
        <v>333</v>
      </c>
      <c r="K7" s="7">
        <v>44748</v>
      </c>
    </row>
    <row r="8" spans="1:11" x14ac:dyDescent="0.25">
      <c r="A8" s="7">
        <v>44739</v>
      </c>
      <c r="B8" s="1">
        <v>5</v>
      </c>
      <c r="C8" s="1">
        <v>1</v>
      </c>
      <c r="D8" s="1">
        <v>1</v>
      </c>
      <c r="E8" s="1"/>
      <c r="F8" s="1">
        <v>1</v>
      </c>
      <c r="G8" s="1">
        <v>2</v>
      </c>
      <c r="H8" s="1">
        <v>34</v>
      </c>
      <c r="I8" s="1">
        <v>120</v>
      </c>
      <c r="J8" s="1">
        <v>1111</v>
      </c>
      <c r="K8" s="7">
        <v>44748</v>
      </c>
    </row>
    <row r="9" spans="1:11" x14ac:dyDescent="0.25">
      <c r="A9" s="7">
        <v>44739</v>
      </c>
      <c r="B9" s="1">
        <v>6</v>
      </c>
      <c r="C9" s="1">
        <v>1</v>
      </c>
      <c r="D9" s="1">
        <v>1</v>
      </c>
      <c r="E9" s="1"/>
      <c r="F9" s="1">
        <v>1</v>
      </c>
      <c r="G9" s="1">
        <v>2</v>
      </c>
      <c r="H9" s="1">
        <v>23</v>
      </c>
      <c r="I9" s="1">
        <v>12</v>
      </c>
      <c r="J9" s="1">
        <v>23456</v>
      </c>
      <c r="K9" s="7">
        <v>44748</v>
      </c>
    </row>
    <row r="10" spans="1:11" x14ac:dyDescent="0.25">
      <c r="A10" s="7">
        <v>44739</v>
      </c>
      <c r="B10" s="1">
        <v>7</v>
      </c>
      <c r="C10" s="1">
        <v>1</v>
      </c>
      <c r="D10" s="1">
        <v>1</v>
      </c>
      <c r="E10" s="1"/>
      <c r="F10" s="1">
        <v>1</v>
      </c>
      <c r="G10" s="1">
        <v>3</v>
      </c>
      <c r="H10" s="1">
        <v>10</v>
      </c>
      <c r="I10" s="1">
        <v>34</v>
      </c>
      <c r="J10" s="1">
        <v>233223</v>
      </c>
      <c r="K10" s="7">
        <v>44748</v>
      </c>
    </row>
    <row r="11" spans="1:11" x14ac:dyDescent="0.25">
      <c r="A11" s="7">
        <v>44739</v>
      </c>
      <c r="B11" s="1">
        <v>8</v>
      </c>
      <c r="C11" s="1">
        <v>3</v>
      </c>
      <c r="D11" s="1">
        <v>0</v>
      </c>
      <c r="E11" s="1">
        <v>1</v>
      </c>
      <c r="F11" s="1"/>
      <c r="G11" s="1">
        <v>3</v>
      </c>
      <c r="H11" s="1">
        <v>8</v>
      </c>
      <c r="I11" s="1">
        <v>0</v>
      </c>
      <c r="J11" s="1">
        <v>1222</v>
      </c>
      <c r="K11" s="7">
        <v>44740</v>
      </c>
    </row>
    <row r="12" spans="1:11" x14ac:dyDescent="0.25">
      <c r="A12" s="7">
        <v>44739</v>
      </c>
      <c r="B12" s="1">
        <v>9</v>
      </c>
      <c r="C12" s="1">
        <v>3</v>
      </c>
      <c r="D12" s="1">
        <v>0</v>
      </c>
      <c r="E12" s="1">
        <v>1</v>
      </c>
      <c r="F12" s="1"/>
      <c r="G12" s="1">
        <v>3</v>
      </c>
      <c r="H12" s="1">
        <v>2</v>
      </c>
      <c r="I12" s="1">
        <v>0</v>
      </c>
      <c r="J12" s="1">
        <v>1222</v>
      </c>
      <c r="K12" s="7">
        <v>44740</v>
      </c>
    </row>
    <row r="13" spans="1:11" x14ac:dyDescent="0.25">
      <c r="A13" s="7">
        <v>44739</v>
      </c>
      <c r="B13" s="1">
        <v>9</v>
      </c>
      <c r="C13" s="1">
        <v>3</v>
      </c>
      <c r="D13" s="1">
        <v>0</v>
      </c>
      <c r="E13" s="1">
        <v>1</v>
      </c>
      <c r="F13" s="1"/>
      <c r="G13" s="1">
        <v>3</v>
      </c>
      <c r="H13" s="1">
        <v>10</v>
      </c>
      <c r="I13" s="1">
        <v>0</v>
      </c>
      <c r="J13" s="1">
        <v>233223</v>
      </c>
      <c r="K13" s="7">
        <v>44748</v>
      </c>
    </row>
    <row r="14" spans="1:11" x14ac:dyDescent="0.25">
      <c r="A14" s="7">
        <v>44739</v>
      </c>
      <c r="B14" s="1">
        <v>10</v>
      </c>
      <c r="C14" s="1">
        <v>3</v>
      </c>
      <c r="D14" s="1">
        <v>0</v>
      </c>
      <c r="E14" s="1">
        <v>1</v>
      </c>
      <c r="F14" s="1"/>
      <c r="G14" s="1">
        <v>2</v>
      </c>
      <c r="H14" s="1">
        <v>20</v>
      </c>
      <c r="I14" s="1">
        <v>0</v>
      </c>
      <c r="J14" s="1">
        <v>1233</v>
      </c>
      <c r="K14" s="7">
        <v>44740</v>
      </c>
    </row>
    <row r="15" spans="1:11" x14ac:dyDescent="0.25">
      <c r="A15" s="7">
        <v>44739</v>
      </c>
      <c r="B15" s="1">
        <v>10</v>
      </c>
      <c r="C15" s="1">
        <v>3</v>
      </c>
      <c r="D15" s="1">
        <v>0</v>
      </c>
      <c r="E15" s="1">
        <v>1</v>
      </c>
      <c r="F15" s="1"/>
      <c r="G15" s="1">
        <v>2</v>
      </c>
      <c r="H15" s="1">
        <v>20</v>
      </c>
      <c r="I15" s="1">
        <v>0</v>
      </c>
      <c r="J15" s="1" t="s">
        <v>40</v>
      </c>
      <c r="K15" s="7">
        <v>44740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D6FCA-9C39-4724-8DB4-3548EFBA7332}">
  <sheetPr codeName="auxlot"/>
  <dimension ref="A1:N9"/>
  <sheetViews>
    <sheetView workbookViewId="0"/>
  </sheetViews>
  <sheetFormatPr baseColWidth="10" defaultRowHeight="15" x14ac:dyDescent="0.25"/>
  <sheetData>
    <row r="1" spans="1:14" x14ac:dyDescent="0.25">
      <c r="A1" t="s">
        <v>41</v>
      </c>
      <c r="B1" t="s">
        <v>42</v>
      </c>
      <c r="C1" t="s">
        <v>43</v>
      </c>
      <c r="D1" t="s">
        <v>44</v>
      </c>
      <c r="F1" t="s">
        <v>45</v>
      </c>
      <c r="G1" t="s">
        <v>46</v>
      </c>
      <c r="H1" t="s">
        <v>47</v>
      </c>
      <c r="I1" t="s">
        <v>48</v>
      </c>
      <c r="K1">
        <v>1</v>
      </c>
      <c r="L1">
        <v>0</v>
      </c>
      <c r="N1" t="s">
        <v>49</v>
      </c>
    </row>
    <row r="2" spans="1:14" x14ac:dyDescent="0.25">
      <c r="A2">
        <v>9999999999999</v>
      </c>
      <c r="C2">
        <v>0</v>
      </c>
      <c r="D2">
        <v>0</v>
      </c>
      <c r="F2">
        <v>1222</v>
      </c>
      <c r="G2" t="s">
        <v>39</v>
      </c>
      <c r="H2">
        <v>2</v>
      </c>
      <c r="I2">
        <v>2</v>
      </c>
      <c r="N2" t="s">
        <v>50</v>
      </c>
    </row>
    <row r="3" spans="1:14" x14ac:dyDescent="0.25">
      <c r="A3" t="s">
        <v>40</v>
      </c>
      <c r="B3" t="s">
        <v>38</v>
      </c>
      <c r="C3">
        <v>0</v>
      </c>
      <c r="D3">
        <v>10</v>
      </c>
      <c r="F3">
        <v>1111</v>
      </c>
      <c r="G3" t="s">
        <v>38</v>
      </c>
      <c r="H3">
        <v>5</v>
      </c>
      <c r="I3">
        <v>11</v>
      </c>
      <c r="N3" t="s">
        <v>51</v>
      </c>
    </row>
    <row r="4" spans="1:14" x14ac:dyDescent="0.25">
      <c r="A4">
        <v>1233</v>
      </c>
      <c r="B4" t="s">
        <v>38</v>
      </c>
      <c r="C4">
        <v>0</v>
      </c>
      <c r="D4">
        <v>1</v>
      </c>
      <c r="F4">
        <v>333</v>
      </c>
      <c r="G4" t="s">
        <v>38</v>
      </c>
      <c r="H4">
        <v>3</v>
      </c>
      <c r="I4">
        <v>11</v>
      </c>
      <c r="N4" t="s">
        <v>52</v>
      </c>
    </row>
    <row r="5" spans="1:14" x14ac:dyDescent="0.25">
      <c r="A5">
        <v>1222</v>
      </c>
      <c r="B5" t="s">
        <v>39</v>
      </c>
      <c r="C5">
        <v>2</v>
      </c>
      <c r="D5">
        <v>2</v>
      </c>
      <c r="F5">
        <v>23456</v>
      </c>
      <c r="G5" t="s">
        <v>38</v>
      </c>
      <c r="H5">
        <v>23</v>
      </c>
      <c r="I5">
        <v>12</v>
      </c>
      <c r="N5" t="s">
        <v>53</v>
      </c>
    </row>
    <row r="6" spans="1:14" x14ac:dyDescent="0.25">
      <c r="A6">
        <v>1111</v>
      </c>
      <c r="B6" t="s">
        <v>38</v>
      </c>
      <c r="C6">
        <v>5</v>
      </c>
      <c r="D6">
        <v>11</v>
      </c>
      <c r="N6" t="s">
        <v>54</v>
      </c>
    </row>
    <row r="7" spans="1:14" x14ac:dyDescent="0.25">
      <c r="A7">
        <v>333</v>
      </c>
      <c r="B7" t="s">
        <v>38</v>
      </c>
      <c r="C7">
        <v>3</v>
      </c>
      <c r="D7">
        <v>11</v>
      </c>
      <c r="N7" t="s">
        <v>55</v>
      </c>
    </row>
    <row r="8" spans="1:14" x14ac:dyDescent="0.25">
      <c r="A8">
        <v>23456</v>
      </c>
      <c r="B8" t="s">
        <v>38</v>
      </c>
      <c r="C8">
        <v>23</v>
      </c>
      <c r="D8">
        <v>12</v>
      </c>
      <c r="N8" t="s">
        <v>56</v>
      </c>
    </row>
    <row r="9" spans="1:14" x14ac:dyDescent="0.25">
      <c r="A9">
        <v>233223</v>
      </c>
      <c r="B9" t="s">
        <v>39</v>
      </c>
      <c r="C9">
        <v>0</v>
      </c>
      <c r="D9">
        <v>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3068F4AE-7D46-4918-9349-3FBDD85D29FC}">
  <ds:schemaRefs/>
</ds:datastoreItem>
</file>

<file path=customXml/itemProps2.xml><?xml version="1.0" encoding="utf-8"?>
<ds:datastoreItem xmlns:ds="http://schemas.openxmlformats.org/officeDocument/2006/customXml" ds:itemID="{02FC4467-407D-40D2-AD9B-68B6C9CC445B}">
  <ds:schemaRefs/>
</ds:datastoreItem>
</file>

<file path=customXml/itemProps3.xml><?xml version="1.0" encoding="utf-8"?>
<ds:datastoreItem xmlns:ds="http://schemas.openxmlformats.org/officeDocument/2006/customXml" ds:itemID="{9A5DE547-07CF-4B5B-B2CF-EABCE0BC7545}">
  <ds:schemaRefs/>
</ds:datastoreItem>
</file>

<file path=customXml/itemProps4.xml><?xml version="1.0" encoding="utf-8"?>
<ds:datastoreItem xmlns:ds="http://schemas.openxmlformats.org/officeDocument/2006/customXml" ds:itemID="{A14ED8AA-AD32-43AC-83D2-8532F6638330}">
  <ds:schemaRefs/>
</ds:datastoreItem>
</file>

<file path=customXml/itemProps5.xml><?xml version="1.0" encoding="utf-8"?>
<ds:datastoreItem xmlns:ds="http://schemas.openxmlformats.org/officeDocument/2006/customXml" ds:itemID="{31EB7792-4B18-4A1D-9E69-47250332656D}">
  <ds:schemaRefs/>
</ds:datastoreItem>
</file>

<file path=customXml/itemProps6.xml><?xml version="1.0" encoding="utf-8"?>
<ds:datastoreItem xmlns:ds="http://schemas.openxmlformats.org/officeDocument/2006/customXml" ds:itemID="{035E197F-66FB-4886-8EA9-CAB8A9DD1F86}">
  <ds:schemaRefs/>
</ds:datastoreItem>
</file>

<file path=customXml/itemProps7.xml><?xml version="1.0" encoding="utf-8"?>
<ds:datastoreItem xmlns:ds="http://schemas.openxmlformats.org/officeDocument/2006/customXml" ds:itemID="{83FE1482-FC96-4B9D-98BD-47AA42EC59C7}">
  <ds:schemaRefs/>
</ds:datastoreItem>
</file>

<file path=customXml/itemProps8.xml><?xml version="1.0" encoding="utf-8"?>
<ds:datastoreItem xmlns:ds="http://schemas.openxmlformats.org/officeDocument/2006/customXml" ds:itemID="{78D33CF5-3194-492F-A383-5C8070CD4472}">
  <ds:schemaRefs/>
</ds:datastoreItem>
</file>

<file path=customXml/itemProps9.xml><?xml version="1.0" encoding="utf-8"?>
<ds:datastoreItem xmlns:ds="http://schemas.openxmlformats.org/officeDocument/2006/customXml" ds:itemID="{B0D08F51-EB4B-4D59-9180-63FBFCD0FCBF}">
  <ds:schemaRefs/>
</ds:datastoreItem>
</file>

<file path=customXml/itemProps10.xml><?xml version="1.0" encoding="utf-8"?>
<ds:datastoreItem xmlns:ds="http://schemas.openxmlformats.org/officeDocument/2006/customXml" ds:itemID="{61CDC741-D620-47E5-AB72-73A61AEE1D08}">
  <ds:schemaRefs/>
</ds:datastoreItem>
</file>

<file path=customXml/itemProps11.xml><?xml version="1.0" encoding="utf-8"?>
<ds:datastoreItem xmlns:ds="http://schemas.openxmlformats.org/officeDocument/2006/customXml" ds:itemID="{DF1523BC-C448-4441-8608-DD985BD0E48F}">
  <ds:schemaRefs/>
</ds:datastoreItem>
</file>

<file path=customXml/itemProps12.xml><?xml version="1.0" encoding="utf-8"?>
<ds:datastoreItem xmlns:ds="http://schemas.openxmlformats.org/officeDocument/2006/customXml" ds:itemID="{CCB58307-AA9A-479B-89C6-58353F5DF4C7}">
  <ds:schemaRefs/>
</ds:datastoreItem>
</file>

<file path=customXml/itemProps13.xml><?xml version="1.0" encoding="utf-8"?>
<ds:datastoreItem xmlns:ds="http://schemas.openxmlformats.org/officeDocument/2006/customXml" ds:itemID="{E6C395D2-23BA-4EAE-9583-6D4EEFEC29EE}">
  <ds:schemaRefs/>
</ds:datastoreItem>
</file>

<file path=customXml/itemProps14.xml><?xml version="1.0" encoding="utf-8"?>
<ds:datastoreItem xmlns:ds="http://schemas.openxmlformats.org/officeDocument/2006/customXml" ds:itemID="{AF498E47-30FF-4227-B4FB-910E002A370C}">
  <ds:schemaRefs/>
</ds:datastoreItem>
</file>

<file path=customXml/itemProps15.xml><?xml version="1.0" encoding="utf-8"?>
<ds:datastoreItem xmlns:ds="http://schemas.openxmlformats.org/officeDocument/2006/customXml" ds:itemID="{4F9B92C2-6FE7-4825-82FE-BDCCD299D801}">
  <ds:schemaRefs/>
</ds:datastoreItem>
</file>

<file path=customXml/itemProps16.xml><?xml version="1.0" encoding="utf-8"?>
<ds:datastoreItem xmlns:ds="http://schemas.openxmlformats.org/officeDocument/2006/customXml" ds:itemID="{22EC1C85-2FCE-44F6-90F6-602F5335FA79}">
  <ds:schemaRefs/>
</ds:datastoreItem>
</file>

<file path=customXml/itemProps17.xml><?xml version="1.0" encoding="utf-8"?>
<ds:datastoreItem xmlns:ds="http://schemas.openxmlformats.org/officeDocument/2006/customXml" ds:itemID="{E7B1685A-603A-417E-AF73-396499D928B5}">
  <ds:schemaRefs/>
</ds:datastoreItem>
</file>

<file path=customXml/itemProps18.xml><?xml version="1.0" encoding="utf-8"?>
<ds:datastoreItem xmlns:ds="http://schemas.openxmlformats.org/officeDocument/2006/customXml" ds:itemID="{FBC590C9-DA43-4352-BF28-D5A5FEE2FC69}">
  <ds:schemaRefs/>
</ds:datastoreItem>
</file>

<file path=customXml/itemProps19.xml><?xml version="1.0" encoding="utf-8"?>
<ds:datastoreItem xmlns:ds="http://schemas.openxmlformats.org/officeDocument/2006/customXml" ds:itemID="{60D2020A-0866-490F-8EEC-090C769B5F60}">
  <ds:schemaRefs/>
</ds:datastoreItem>
</file>

<file path=customXml/itemProps20.xml><?xml version="1.0" encoding="utf-8"?>
<ds:datastoreItem xmlns:ds="http://schemas.openxmlformats.org/officeDocument/2006/customXml" ds:itemID="{1A2CCD1E-669B-49AB-B490-FB452916A59D}">
  <ds:schemaRefs/>
</ds:datastoreItem>
</file>

<file path=customXml/itemProps21.xml><?xml version="1.0" encoding="utf-8"?>
<ds:datastoreItem xmlns:ds="http://schemas.openxmlformats.org/officeDocument/2006/customXml" ds:itemID="{EF5E9FBE-F410-486F-AA86-5108450A24B6}">
  <ds:schemaRefs/>
</ds:datastoreItem>
</file>

<file path=customXml/itemProps22.xml><?xml version="1.0" encoding="utf-8"?>
<ds:datastoreItem xmlns:ds="http://schemas.openxmlformats.org/officeDocument/2006/customXml" ds:itemID="{14386918-16F5-4161-B050-B5BA4B42EF67}">
  <ds:schemaRefs/>
</ds:datastoreItem>
</file>

<file path=customXml/itemProps23.xml><?xml version="1.0" encoding="utf-8"?>
<ds:datastoreItem xmlns:ds="http://schemas.openxmlformats.org/officeDocument/2006/customXml" ds:itemID="{6DB34F29-A4F6-438B-8854-66DA8F4D90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47</vt:i4>
      </vt:variant>
    </vt:vector>
  </HeadingPairs>
  <TitlesOfParts>
    <vt:vector size="58" baseType="lpstr">
      <vt:lpstr>dash Inv</vt:lpstr>
      <vt:lpstr>dash Ent</vt:lpstr>
      <vt:lpstr>dash Sal</vt:lpstr>
      <vt:lpstr>notaMov</vt:lpstr>
      <vt:lpstr>Prod</vt:lpstr>
      <vt:lpstr>Prov</vt:lpstr>
      <vt:lpstr>Suc</vt:lpstr>
      <vt:lpstr>Ars</vt:lpstr>
      <vt:lpstr>tMov</vt:lpstr>
      <vt:lpstr>hMov</vt:lpstr>
      <vt:lpstr>aux lotes</vt:lpstr>
      <vt:lpstr>aux_cols</vt:lpstr>
      <vt:lpstr>auxLotCantDisp</vt:lpstr>
      <vt:lpstr>auxLotCantDisp_r</vt:lpstr>
      <vt:lpstr>auxLotCostDisp</vt:lpstr>
      <vt:lpstr>auxLotCostDisp_r</vt:lpstr>
      <vt:lpstr>auxLotDisp</vt:lpstr>
      <vt:lpstr>auxLotDisp_r</vt:lpstr>
      <vt:lpstr>auxProdDisp</vt:lpstr>
      <vt:lpstr>auxProdDisp_r</vt:lpstr>
      <vt:lpstr>bas</vt:lpstr>
      <vt:lpstr>cantLote</vt:lpstr>
      <vt:lpstr>cantLote_r</vt:lpstr>
      <vt:lpstr>cero</vt:lpstr>
      <vt:lpstr>col_CANTIDAD</vt:lpstr>
      <vt:lpstr>col_COSTO_UNITARIO</vt:lpstr>
      <vt:lpstr>col_FECHA_CAD</vt:lpstr>
      <vt:lpstr>col_LOTE</vt:lpstr>
      <vt:lpstr>col_PRODUCTO</vt:lpstr>
      <vt:lpstr>col_UNIDAD</vt:lpstr>
      <vt:lpstr>costLote</vt:lpstr>
      <vt:lpstr>costLote_r</vt:lpstr>
      <vt:lpstr>e_CANTIDAD</vt:lpstr>
      <vt:lpstr>e_COSTO_UNITARIO</vt:lpstr>
      <vt:lpstr>e_FECHA_CAD</vt:lpstr>
      <vt:lpstr>e_LOTE</vt:lpstr>
      <vt:lpstr>e_PRODUCTO</vt:lpstr>
      <vt:lpstr>e_UNIDAD</vt:lpstr>
      <vt:lpstr>enc</vt:lpstr>
      <vt:lpstr>grl</vt:lpstr>
      <vt:lpstr>iniarea</vt:lpstr>
      <vt:lpstr>inihmov</vt:lpstr>
      <vt:lpstr>iniprod</vt:lpstr>
      <vt:lpstr>iniprov</vt:lpstr>
      <vt:lpstr>inisuc</vt:lpstr>
      <vt:lpstr>initmov</vt:lpstr>
      <vt:lpstr>nFECHA</vt:lpstr>
      <vt:lpstr>nINOUT</vt:lpstr>
      <vt:lpstr>nPROVEEDOR</vt:lpstr>
      <vt:lpstr>nSUCURSAL</vt:lpstr>
      <vt:lpstr>nTIPO_MOV</vt:lpstr>
      <vt:lpstr>penc</vt:lpstr>
      <vt:lpstr>pgrl</vt:lpstr>
      <vt:lpstr>productoLote</vt:lpstr>
      <vt:lpstr>productoLote_r</vt:lpstr>
      <vt:lpstr>unicLotes</vt:lpstr>
      <vt:lpstr>unicLotes_r</vt:lpstr>
      <vt:lpstr>uno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Fuentes</dc:creator>
  <cp:lastModifiedBy>Pablo Fuentes</cp:lastModifiedBy>
  <dcterms:created xsi:type="dcterms:W3CDTF">2022-06-11T14:56:22Z</dcterms:created>
  <dcterms:modified xsi:type="dcterms:W3CDTF">2022-07-07T16:18:22Z</dcterms:modified>
</cp:coreProperties>
</file>