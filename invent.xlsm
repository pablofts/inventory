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0" documentId="14_{849ACA99-1F88-4E82-B020-F1E97F5980EE}" xr6:coauthVersionLast="47" xr6:coauthVersionMax="47" xr10:uidLastSave="{00000000-0000-0000-0000-000000000000}"/>
  <bookViews>
    <workbookView xWindow="-120" yWindow="-120" windowWidth="20730" windowHeight="11160" tabRatio="836" activeTab="3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r:id="rId11"/>
    <sheet name="aux inv" sheetId="15" state="hidden" r:id="rId12"/>
    <sheet name="aux ent" sheetId="12" state="hidden" r:id="rId13"/>
    <sheet name="aux sal" sheetId="13" state="hidden" r:id="rId14"/>
  </sheets>
  <functionGroups builtInGroupCount="19"/>
  <definedNames>
    <definedName name="aentAr">'aux ent'!$B$2</definedName>
    <definedName name="aentCant">'aux ent'!$D$2</definedName>
    <definedName name="aentCost">'aux ent'!$E$2</definedName>
    <definedName name="aentProd">'aux ent'!$C$2</definedName>
    <definedName name="aentProv">'aux ent'!$A$2</definedName>
    <definedName name="ainvProdE">'aux inv'!$A$1</definedName>
    <definedName name="asalAr">'aux sal'!$B$2</definedName>
    <definedName name="asalCant">'aux sal'!$D$2</definedName>
    <definedName name="asalCost">'aux sal'!$E$2</definedName>
    <definedName name="asalProd">'aux sal'!$C$2</definedName>
    <definedName name="asalSuc">'aux sal'!$A$2</definedName>
    <definedName name="aux_cols">'aux lotes'!$H$1:$H$8</definedName>
    <definedName name="auxAr">'aux lotes'!$E$2</definedName>
    <definedName name="auxFechCad">'aux lotes'!$G$2</definedName>
    <definedName name="auxLotCantDisp">'aux lotes'!$C$2</definedName>
    <definedName name="auxLotCantDisp_r">'aux lotes'!$C$2:$C$6</definedName>
    <definedName name="auxLotCostDisp">'aux lotes'!$D$2</definedName>
    <definedName name="auxLotCostDisp_r">'aux lotes'!$D$2:$D$6</definedName>
    <definedName name="auxLotDisp">'aux lotes'!$A$2</definedName>
    <definedName name="auxLotDisp_r">'aux lotes'!$A$2:$A$6</definedName>
    <definedName name="auxProdDisp">'aux lotes'!$B$2</definedName>
    <definedName name="auxProdDisp_r">'aux lotes'!$B$2:$B$6</definedName>
    <definedName name="bas">notaMov!$A$9:$F$9</definedName>
    <definedName name="CantEnt">'dash Ent'!$B$36</definedName>
    <definedName name="CantExt">'dash Inv'!$B$4</definedName>
    <definedName name="cantLote">'aux lotes'!#REF!</definedName>
    <definedName name="cantLote_r">'aux lotes'!#REF!</definedName>
    <definedName name="CantSal">'dash Sal'!$B$4</definedName>
    <definedName name="cero">'aux lotes'!#REF!</definedName>
    <definedName name="col_CANTIDAD">notaMov!$D$9</definedName>
    <definedName name="col_COSTO_UNITARIO">notaMov!$F$9</definedName>
    <definedName name="col_FECHA_CAD">notaMov!$E$9</definedName>
    <definedName name="col_LOTE">notaMov!$C$9</definedName>
    <definedName name="col_PRODUCTO">notaMov!$A$9</definedName>
    <definedName name="col_UNIDAD">notaMov!$B$9</definedName>
    <definedName name="costLote">'aux lotes'!#REF!</definedName>
    <definedName name="costLote_r">'aux lotes'!#REF!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encEnt">'dash Ent'!$A$36</definedName>
    <definedName name="EncInv">'dash Inv'!$A$4</definedName>
    <definedName name="encSal">'dash Sal'!$A$4</definedName>
    <definedName name="FechExt">'dash Inv'!$D$4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  <definedName name="productoLote">'aux lotes'!#REF!</definedName>
    <definedName name="productoLote_r">'aux lotes'!#REF!</definedName>
    <definedName name="unicLotes">'aux lotes'!#REF!</definedName>
    <definedName name="unicLotes_r">'aux lotes'!#REF!</definedName>
    <definedName name="uno">'aux lotes'!#REF!</definedName>
    <definedName name="ValEnt">'dash Ent'!$C$36</definedName>
    <definedName name="ValExt">'dash Inv'!$C$4</definedName>
    <definedName name="ValSal">'dash Sal'!$C$4</definedName>
  </definedNames>
  <calcPr calcId="191029"/>
  <pivotCaches>
    <pivotCache cacheId="81" r:id="rId15"/>
    <pivotCache cacheId="86" r:id="rId16"/>
    <pivotCache cacheId="91" r:id="rId1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3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2" i="1" l="1"/>
  <c r="E3" i="1"/>
  <c r="E4" i="1"/>
</calcChain>
</file>

<file path=xl/sharedStrings.xml><?xml version="1.0" encoding="utf-8"?>
<sst xmlns="http://schemas.openxmlformats.org/spreadsheetml/2006/main" count="470" uniqueCount="180">
  <si>
    <t>compra</t>
  </si>
  <si>
    <t>merma</t>
  </si>
  <si>
    <t>traspaso</t>
  </si>
  <si>
    <t>na</t>
  </si>
  <si>
    <t>FECHA</t>
  </si>
  <si>
    <t>SUCURSAL</t>
  </si>
  <si>
    <t>PROVEEDOR</t>
  </si>
  <si>
    <t>TIPO_MOV</t>
  </si>
  <si>
    <t>INOUT</t>
  </si>
  <si>
    <t>PRODUCTO</t>
  </si>
  <si>
    <t>UNIDAD</t>
  </si>
  <si>
    <t>LOTE</t>
  </si>
  <si>
    <t>CANTIDAD</t>
  </si>
  <si>
    <t>FECHA_CAD</t>
  </si>
  <si>
    <t>COSTO_UNITARIO</t>
  </si>
  <si>
    <t>AREA</t>
  </si>
  <si>
    <t>IDPROD</t>
  </si>
  <si>
    <t>EXISTENCIA</t>
  </si>
  <si>
    <t>IDPROVEEDOR</t>
  </si>
  <si>
    <t>IDSUCURSAL</t>
  </si>
  <si>
    <t>IDAREA</t>
  </si>
  <si>
    <t>TIPO</t>
  </si>
  <si>
    <t>IDTIPO</t>
  </si>
  <si>
    <t>IDMOV</t>
  </si>
  <si>
    <t>IDPRODUCTO</t>
  </si>
  <si>
    <t>COSTO</t>
  </si>
  <si>
    <t>unicLotes_r</t>
  </si>
  <si>
    <t>productoLote_r</t>
  </si>
  <si>
    <t>cantLote_r</t>
  </si>
  <si>
    <t>costLote_r</t>
  </si>
  <si>
    <t>auxLotDisp_r</t>
  </si>
  <si>
    <t>auxProdDisp_r</t>
  </si>
  <si>
    <t>auxLotCantDisp_r</t>
  </si>
  <si>
    <t>auxLotCostDisp_r</t>
  </si>
  <si>
    <t>MEDIOS DE TRANSPORTE</t>
  </si>
  <si>
    <t>PAQUETE</t>
  </si>
  <si>
    <t>MICROBIOLOGIA</t>
  </si>
  <si>
    <t>TUBO ROJO</t>
  </si>
  <si>
    <t>TUBOS</t>
  </si>
  <si>
    <t>TUBO AMARILLO</t>
  </si>
  <si>
    <t>TUBO LILA</t>
  </si>
  <si>
    <t>TUBO AZUL</t>
  </si>
  <si>
    <t>FRASCO ESTERIL</t>
  </si>
  <si>
    <t>PIEZA</t>
  </si>
  <si>
    <t>SUPLEMENTOS</t>
  </si>
  <si>
    <t>ALGODÓN</t>
  </si>
  <si>
    <t>BOLSA</t>
  </si>
  <si>
    <t>HOJAS BLANCAS</t>
  </si>
  <si>
    <t>PAPELERIA</t>
  </si>
  <si>
    <t>TINTA 544</t>
  </si>
  <si>
    <t>CINTA ETIQUETADORA</t>
  </si>
  <si>
    <t>ROLLO</t>
  </si>
  <si>
    <t>BOLSA NEGRA CH</t>
  </si>
  <si>
    <t>BOLSA NEGRA G</t>
  </si>
  <si>
    <t>HOJA MEMBRETADA</t>
  </si>
  <si>
    <t>AGUA EMBOTELLADA</t>
  </si>
  <si>
    <t>LANZETAS</t>
  </si>
  <si>
    <t>APLICADORES DE ALGODÓN</t>
  </si>
  <si>
    <t>GUANTES CH</t>
  </si>
  <si>
    <t>GUANTES M</t>
  </si>
  <si>
    <t>GUANTES G</t>
  </si>
  <si>
    <t>JERINGA 3ML AZUL</t>
  </si>
  <si>
    <t>CAJA</t>
  </si>
  <si>
    <t>JERINGAS</t>
  </si>
  <si>
    <t>JERINGA 3ML NARANJA</t>
  </si>
  <si>
    <t>JERINGA 3ML NEGRA</t>
  </si>
  <si>
    <t xml:space="preserve">JERINGA 5ML </t>
  </si>
  <si>
    <t>JERINGA 10ML</t>
  </si>
  <si>
    <t xml:space="preserve">CINTA PAPEL </t>
  </si>
  <si>
    <t>CUADERNO PROFESIONAL</t>
  </si>
  <si>
    <t>CUADERNO CHICO</t>
  </si>
  <si>
    <t>RESISTOL</t>
  </si>
  <si>
    <t>MARCADORES</t>
  </si>
  <si>
    <t>CINTA GRANDE TRANS</t>
  </si>
  <si>
    <t>SHARPIE</t>
  </si>
  <si>
    <t>LAPICERA ROJA</t>
  </si>
  <si>
    <t>LAPICERA NEGRA</t>
  </si>
  <si>
    <t>LAPICERA AZUL</t>
  </si>
  <si>
    <t>AMILASA</t>
  </si>
  <si>
    <t>SPINREACT</t>
  </si>
  <si>
    <t>ALBUMINA</t>
  </si>
  <si>
    <t>TIEMPOS PROTOMBINA</t>
  </si>
  <si>
    <t>BILIS T Y D</t>
  </si>
  <si>
    <t>ACIDO URICO</t>
  </si>
  <si>
    <t>PROTEINAS TOTALES</t>
  </si>
  <si>
    <t>GLUCOSA</t>
  </si>
  <si>
    <t>ANTIGENOS BACTERIANOS</t>
  </si>
  <si>
    <t>TGP</t>
  </si>
  <si>
    <t>TGO</t>
  </si>
  <si>
    <t>UREA</t>
  </si>
  <si>
    <t>CREATININA</t>
  </si>
  <si>
    <t>TRIGLICERIDOS</t>
  </si>
  <si>
    <t>COLESTEROL</t>
  </si>
  <si>
    <t>FOSFATASA ALCALINA</t>
  </si>
  <si>
    <t>LDH</t>
  </si>
  <si>
    <t>FACTOR REUMATOIDE</t>
  </si>
  <si>
    <t>ASO</t>
  </si>
  <si>
    <t>VDRL</t>
  </si>
  <si>
    <t>PCR</t>
  </si>
  <si>
    <t>HDL</t>
  </si>
  <si>
    <t>GGT</t>
  </si>
  <si>
    <t>TPT</t>
  </si>
  <si>
    <t>DULCES</t>
  </si>
  <si>
    <t>PSA</t>
  </si>
  <si>
    <t>IMMULITE</t>
  </si>
  <si>
    <t>T4 LIBRE</t>
  </si>
  <si>
    <t>PROLACTINA</t>
  </si>
  <si>
    <t>PROGESTERONA</t>
  </si>
  <si>
    <t>T3</t>
  </si>
  <si>
    <t>TSH</t>
  </si>
  <si>
    <t>H. PYLORI</t>
  </si>
  <si>
    <t xml:space="preserve">T4  </t>
  </si>
  <si>
    <t>FUJI</t>
  </si>
  <si>
    <t>NITROGENO UREICO</t>
  </si>
  <si>
    <t>CA</t>
  </si>
  <si>
    <t>ES</t>
  </si>
  <si>
    <t>P</t>
  </si>
  <si>
    <t>LIPASA</t>
  </si>
  <si>
    <t xml:space="preserve">TP </t>
  </si>
  <si>
    <t>BILIS TOTAL</t>
  </si>
  <si>
    <t>BILIS DIRECTA</t>
  </si>
  <si>
    <t>AGAR SANGRE</t>
  </si>
  <si>
    <t>AGAR MULLER HINTON</t>
  </si>
  <si>
    <t>AGAR AZUL DE METILENO</t>
  </si>
  <si>
    <t>METHANFETAMINA</t>
  </si>
  <si>
    <t>PRUEBAS RAPIDAS</t>
  </si>
  <si>
    <t>COCAINA</t>
  </si>
  <si>
    <t>THC</t>
  </si>
  <si>
    <t>PRUEBA DE EMBARAZO</t>
  </si>
  <si>
    <t>TIRAS DE ORINA</t>
  </si>
  <si>
    <t>FRASCO</t>
  </si>
  <si>
    <t>DENGUE</t>
  </si>
  <si>
    <t>HEPATITIS A</t>
  </si>
  <si>
    <t>HEPATITIS B</t>
  </si>
  <si>
    <t>HEPATITIS C</t>
  </si>
  <si>
    <t>SIFILIS</t>
  </si>
  <si>
    <t>MULTIDROGAS 3</t>
  </si>
  <si>
    <t xml:space="preserve">INFLUENZA A Y B </t>
  </si>
  <si>
    <t>BARBITURICOS</t>
  </si>
  <si>
    <t>BENZODIASEPINAS</t>
  </si>
  <si>
    <t>RESLAB</t>
  </si>
  <si>
    <t>ERBAMEX</t>
  </si>
  <si>
    <t>TECDIAGS</t>
  </si>
  <si>
    <t>VEGALAB</t>
  </si>
  <si>
    <t>KABLA</t>
  </si>
  <si>
    <t xml:space="preserve">AUREA </t>
  </si>
  <si>
    <t>DICIPA</t>
  </si>
  <si>
    <t>FG SOLUCIONES</t>
  </si>
  <si>
    <t>NUCLEO</t>
  </si>
  <si>
    <t>CENTRO</t>
  </si>
  <si>
    <t>CAPILLA</t>
  </si>
  <si>
    <t xml:space="preserve">SAN IGNACIO </t>
  </si>
  <si>
    <t>SAN JOSE</t>
  </si>
  <si>
    <t>MEZCALA</t>
  </si>
  <si>
    <t>EMPRESAS</t>
  </si>
  <si>
    <t>COMPUTO</t>
  </si>
  <si>
    <t>QUIRURJICO</t>
  </si>
  <si>
    <t>SYSMEX BH</t>
  </si>
  <si>
    <t>ACT 5 DIFF</t>
  </si>
  <si>
    <t>MINDRAY BC3200</t>
  </si>
  <si>
    <t>PIPETAS</t>
  </si>
  <si>
    <t>ECLIPSE APEXBIO</t>
  </si>
  <si>
    <t>NIHON KOHDEN</t>
  </si>
  <si>
    <t>LIMPIEZA</t>
  </si>
  <si>
    <t>GARRAFONES</t>
  </si>
  <si>
    <t>GETEIN 1100</t>
  </si>
  <si>
    <t>CACAS</t>
  </si>
  <si>
    <t>Total general</t>
  </si>
  <si>
    <t>CantidadExistente</t>
  </si>
  <si>
    <t/>
  </si>
  <si>
    <t>CantidadEntrada</t>
  </si>
  <si>
    <t>ValorEntrada</t>
  </si>
  <si>
    <t>CantidadTraspaso</t>
  </si>
  <si>
    <t>ValorTraspaso</t>
  </si>
  <si>
    <t>ValorExistente</t>
  </si>
  <si>
    <t>FECHACAD</t>
  </si>
  <si>
    <t>TL654</t>
  </si>
  <si>
    <t>mt5656</t>
  </si>
  <si>
    <t>ta333</t>
  </si>
  <si>
    <t>FechaCadProm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</si>
</sst>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14" fontId="0" fillId="2" borderId="0" xfId="0" applyNumberFormat="1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2" borderId="0" xfId="0" applyNumberFormat="1" applyFill="1"/>
    <xf numFmtId="0" fontId="1" fillId="3" borderId="0" xfId="0" applyNumberFormat="1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44" fontId="0" fillId="0" borderId="0" xfId="1" applyFont="1" applyAlignment="1">
      <alignment horizontal="center"/>
    </xf>
    <xf numFmtId="0" fontId="0" fillId="0" borderId="0" xfId="0" applyNumberFormat="1" applyAlignment="1">
      <alignment horizontal="center"/>
    </xf>
    <xf numFmtId="44" fontId="0" fillId="0" borderId="0" xfId="0" pivotButton="1" applyNumberFormat="1" applyAlignment="1">
      <alignment horizontal="left"/>
    </xf>
    <xf numFmtId="0" fontId="0" fillId="0" borderId="0" xfId="0" pivotButton="1" applyAlignment="1">
      <alignment horizontal="left"/>
    </xf>
    <xf numFmtId="14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64"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numFmt numFmtId="19" formatCode="dd/mm/yyyy"/>
    </dxf>
    <dxf>
      <numFmt numFmtId="19" formatCode="dd/mm/yyyy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horizontal="center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fill>
        <patternFill patternType="solid">
          <fgColor indexed="64"/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xml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171450</xdr:rowOff>
        </xdr:from>
        <xdr:to>
          <xdr:col>5</xdr:col>
          <xdr:colOff>733425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994A8E6-2794-B6D9-7111-FD5F361E2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27454</xdr:colOff>
          <xdr:row>34</xdr:row>
          <xdr:rowOff>178734</xdr:rowOff>
        </xdr:from>
        <xdr:to>
          <xdr:col>4</xdr:col>
          <xdr:colOff>741829</xdr:colOff>
          <xdr:row>36</xdr:row>
          <xdr:rowOff>7284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5764288-C236-4135-B2D9-7ACA9A6CE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742949</xdr:colOff>
          <xdr:row>2</xdr:row>
          <xdr:rowOff>171450</xdr:rowOff>
        </xdr:from>
        <xdr:to>
          <xdr:col>5</xdr:col>
          <xdr:colOff>9524</xdr:colOff>
          <xdr:row>4</xdr:row>
          <xdr:rowOff>9524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CBA0829-9185-A095-04B4-13E913389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Fuentes" refreshedDate="44765.603360416666" createdVersion="8" refreshedVersion="8" minRefreshableVersion="3" recordCount="2" xr:uid="{81CBFF2A-99A8-4F1E-B749-90645DB8E636}">
  <cacheSource type="worksheet">
    <worksheetSource name="asal"/>
  </cacheSource>
  <cacheFields count="5">
    <cacheField name="SUCURSAL" numFmtId="0">
      <sharedItems count="1">
        <s v="NUCLEO"/>
      </sharedItems>
    </cacheField>
    <cacheField name="AREA" numFmtId="0">
      <sharedItems count="1">
        <s v="TUBOS"/>
      </sharedItems>
    </cacheField>
    <cacheField name="PRODUCTO" numFmtId="0">
      <sharedItems count="2">
        <s v="TUBO ROJO"/>
        <s v="TUBO AMARILLO"/>
      </sharedItems>
    </cacheField>
    <cacheField name="CANTIDAD" numFmtId="0">
      <sharedItems containsSemiMixedTypes="0" containsString="0" containsNumber="1" containsInteger="1" minValue="20" maxValue="45"/>
    </cacheField>
    <cacheField name="COSTO" numFmtId="0">
      <sharedItems containsSemiMixedTypes="0" containsString="0" containsNumber="1" containsInteger="1" minValue="0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Fuentes" refreshedDate="44765.603361805559" createdVersion="8" refreshedVersion="8" minRefreshableVersion="3" recordCount="4" xr:uid="{9600D0B3-CAAD-4D81-8014-710E1EE83113}">
  <cacheSource type="worksheet">
    <worksheetSource name="aent"/>
  </cacheSource>
  <cacheFields count="5">
    <cacheField name="PROVEEDOR" numFmtId="0">
      <sharedItems count="2">
        <s v="SPINREACT"/>
        <s v="RESLAB"/>
      </sharedItems>
    </cacheField>
    <cacheField name="AREA" numFmtId="0">
      <sharedItems count="2">
        <s v="TUBOS"/>
        <s v="CACAS"/>
      </sharedItems>
    </cacheField>
    <cacheField name="PRODUCTO" numFmtId="0">
      <sharedItems count="2">
        <s v="TUBO ROJO"/>
        <s v="TUBO AMARILLO"/>
      </sharedItems>
    </cacheField>
    <cacheField name="CANTIDAD" numFmtId="0">
      <sharedItems containsSemiMixedTypes="0" containsString="0" containsNumber="1" containsInteger="1" minValue="10" maxValue="65"/>
    </cacheField>
    <cacheField name="COSTO" numFmtId="0">
      <sharedItems containsSemiMixedTypes="0" containsString="0" containsNumber="1" containsInteger="1" minValue="2" maxValue="1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Fuentes" refreshedDate="44765.603363078706" createdVersion="8" refreshedVersion="8" minRefreshableVersion="3" recordCount="5" xr:uid="{544B558D-1395-4BFB-83A7-808CACF0D25D}">
  <cacheSource type="worksheet">
    <worksheetSource name="alot"/>
  </cacheSource>
  <cacheFields count="6">
    <cacheField name="LOTE" numFmtId="0">
      <sharedItems containsMixedTypes="1" containsNumber="1" containsInteger="1" minValue="333" maxValue="333" count="4">
        <n v="333"/>
        <s v="TL654"/>
        <s v="ta333"/>
        <s v="mt5656"/>
      </sharedItems>
    </cacheField>
    <cacheField name="PRODUCTO" numFmtId="0">
      <sharedItems count="4">
        <s v="TUBO ROJO"/>
        <s v="TUBO LILA"/>
        <s v="TUBO AZUL"/>
        <s v="MEDIOS DE TRANSPORTE"/>
      </sharedItems>
    </cacheField>
    <cacheField name="AREA" numFmtId="0">
      <sharedItems count="2">
        <s v="TUBOS"/>
        <s v="MICROBIOLOGIA"/>
      </sharedItems>
    </cacheField>
    <cacheField name="CANTIDAD" numFmtId="0">
      <sharedItems containsSemiMixedTypes="0" containsString="0" containsNumber="1" containsInteger="1" minValue="3" maxValue="20"/>
    </cacheField>
    <cacheField name="COSTO" numFmtId="0">
      <sharedItems containsSemiMixedTypes="0" containsString="0" containsNumber="1" containsInteger="1" minValue="30" maxValue="1000"/>
    </cacheField>
    <cacheField name="FECHACAD" numFmtId="14">
      <sharedItems containsSemiMixedTypes="0" containsNonDate="0" containsDate="1" containsString="0" minDate="2022-06-27T00:00:00" maxDate="2022-06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n v="45"/>
    <n v="11"/>
  </r>
  <r>
    <x v="0"/>
    <x v="0"/>
    <x v="1"/>
    <n v="2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n v="65"/>
    <n v="154"/>
  </r>
  <r>
    <x v="0"/>
    <x v="0"/>
    <x v="1"/>
    <n v="10"/>
    <n v="34"/>
  </r>
  <r>
    <x v="1"/>
    <x v="1"/>
    <x v="0"/>
    <n v="30"/>
    <n v="31"/>
  </r>
  <r>
    <x v="1"/>
    <x v="0"/>
    <x v="1"/>
    <n v="10"/>
    <n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n v="3"/>
    <n v="30"/>
    <d v="2022-06-27T00:00:00"/>
  </r>
  <r>
    <x v="1"/>
    <x v="1"/>
    <x v="0"/>
    <n v="20"/>
    <n v="400"/>
    <d v="2022-06-27T00:00:00"/>
  </r>
  <r>
    <x v="2"/>
    <x v="2"/>
    <x v="0"/>
    <n v="10"/>
    <n v="550"/>
    <d v="2022-06-27T00:00:00"/>
  </r>
  <r>
    <x v="3"/>
    <x v="3"/>
    <x v="1"/>
    <n v="10"/>
    <n v="1000"/>
    <d v="2022-06-27T00:00:00"/>
  </r>
  <r>
    <x v="2"/>
    <x v="2"/>
    <x v="0"/>
    <n v="10"/>
    <n v="550"/>
    <d v="2022-06-27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CA9A6-D004-4190-B292-1DAA877F1942}" name="dashInv" cacheId="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">
  <location ref="A4:D7" firstHeaderRow="0" firstDataRow="1" firstDataCol="1"/>
  <pivotFields count="6">
    <pivotField axis="axisRow" showAll="0">
      <items count="5">
        <item x="0"/>
        <item x="3"/>
        <item x="2"/>
        <item x="1"/>
        <item t="default"/>
      </items>
    </pivotField>
    <pivotField axis="axisRow" showAll="0">
      <items count="5">
        <item sd="0" x="3"/>
        <item x="2"/>
        <item x="1"/>
        <item x="0"/>
        <item t="default"/>
      </items>
    </pivotField>
    <pivotField axis="axisRow" showAll="0">
      <items count="3">
        <item sd="0" x="1"/>
        <item sd="0" x="0"/>
        <item t="default"/>
      </items>
    </pivotField>
    <pivotField dataField="1" showAll="0"/>
    <pivotField dataField="1" showAll="0"/>
    <pivotField dataField="1" numFmtId="14" showAll="0"/>
  </pivotFields>
  <rowFields count="3">
    <field x="2"/>
    <field x="1"/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Existente" fld="3" baseField="0" baseItem="0"/>
    <dataField name="ValorExistente" fld="4" baseField="0" baseItem="0"/>
    <dataField name="FechaCadProm" fld="5" subtotal="average" baseField="0" baseItem="0" numFmtId="14"/>
  </dataFields>
  <formats count="14">
    <format dxfId="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">
      <pivotArea field="2" type="button" dataOnly="0" labelOnly="1" outline="0" axis="axisRow" fieldPosition="0"/>
    </format>
    <format dxfId="9">
      <pivotArea dataOnly="0" labelOnly="1" fieldPosition="0">
        <references count="1">
          <reference field="2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1">
            <x v="0"/>
          </reference>
          <reference field="2" count="1" selected="0">
            <x v="0"/>
          </reference>
        </references>
      </pivotArea>
    </format>
    <format dxfId="6">
      <pivotArea dataOnly="0" labelOnly="1" fieldPosition="0">
        <references count="2">
          <reference field="1" count="3">
            <x v="1"/>
            <x v="2"/>
            <x v="3"/>
          </reference>
          <reference field="2" count="1" selected="0">
            <x v="1"/>
          </reference>
        </references>
      </pivotArea>
    </format>
    <format dxfId="5">
      <pivotArea dataOnly="0" labelOnly="1" fieldPosition="0">
        <references count="3">
          <reference field="0" count="1">
            <x v="1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">
      <pivotArea dataOnly="0" labelOnly="1" fieldPosition="0">
        <references count="3">
          <reference field="0" count="1">
            <x v="2"/>
          </reference>
          <reference field="1" count="1" selected="0">
            <x v="1"/>
          </reference>
          <reference field="2" count="1" selected="0">
            <x v="1"/>
          </reference>
        </references>
      </pivotArea>
    </format>
    <format dxfId="3">
      <pivotArea dataOnly="0" labelOnly="1" fieldPosition="0">
        <references count="3">
          <reference field="0" count="1">
            <x v="3"/>
          </reference>
          <reference field="1" count="1" selected="0">
            <x v="2"/>
          </reference>
          <reference field="2" count="1" selected="0">
            <x v="1"/>
          </reference>
        </references>
      </pivotArea>
    </format>
    <format dxfId="2">
      <pivotArea dataOnly="0" labelOnly="1" fieldPosition="0">
        <references count="3">
          <reference field="0" count="1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7AC5C-23D7-4E8A-AA7D-A8E8883B2EE5}" name="dashIn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">
  <location ref="A36:C42" firstHeaderRow="0" firstDataRow="1" firstDataCol="1"/>
  <pivotFields count="5">
    <pivotField axis="axisRow" showAll="0">
      <items count="3">
        <item sd="0"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  <pivotField dataField="1" showAll="0"/>
  </pivotFields>
  <rowFields count="3">
    <field x="0"/>
    <field x="1"/>
    <field x="2"/>
  </rowFields>
  <rowItems count="6">
    <i>
      <x/>
    </i>
    <i>
      <x v="1"/>
    </i>
    <i r="1">
      <x v="1"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Entrada" fld="3" baseField="0" baseItem="0"/>
    <dataField name="ValorEntrada" fld="4" baseField="0" baseItem="0"/>
  </dataFields>
  <formats count="7"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field="0" type="button" dataOnly="0" labelOnly="1" outline="0" axis="axisRow" fieldPosition="0"/>
    </format>
    <format dxfId="22">
      <pivotArea dataOnly="0" labelOnly="1" fieldPosition="0">
        <references count="1">
          <reference field="0" count="0"/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19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7B0CC-8C93-485E-9CE9-46B33F43E758}" name="dashSal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">
  <location ref="A4:C9" firstHeaderRow="0" firstDataRow="1" firstDataCol="1"/>
  <pivotFields count="5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  <pivotField dataField="1" showAll="0"/>
  </pivotFields>
  <rowFields count="3">
    <field x="0"/>
    <field x="1"/>
    <field x="2"/>
  </rowFields>
  <rowItems count="5">
    <i>
      <x/>
    </i>
    <i r="1">
      <x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Traspaso" fld="3" baseField="0" baseItem="0"/>
    <dataField name="ValorTraspaso" fld="4" baseField="0" baseItem="0"/>
  </dataFields>
  <formats count="22">
    <format dxfId="42">
      <pivotArea field="0" type="button" dataOnly="0" labelOnly="1" outline="0" axis="axisRow" fieldPosition="0"/>
    </format>
    <format dxfId="41">
      <pivotArea type="all" dataOnly="0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2">
          <reference field="0" count="0" selected="0"/>
          <reference field="1" count="0"/>
        </references>
      </pivotArea>
    </format>
    <format dxfId="34">
      <pivotArea dataOnly="0" labelOnly="1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outline="0" collapsedLevelsAreSubtotals="1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2">
          <reference field="0" count="0" selected="0"/>
          <reference field="1" count="0"/>
        </references>
      </pivotArea>
    </format>
    <format dxfId="26">
      <pivotArea dataOnly="0" labelOnly="1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2">
          <reference field="0" count="0" selected="0"/>
          <reference field="1" count="0"/>
        </references>
      </pivotArea>
    </format>
    <format dxfId="14">
      <pivotArea dataOnly="0" labelOnly="1" fieldPosition="0">
        <references count="3">
          <reference field="0" count="0" selected="0"/>
          <reference field="1" count="0" selected="0"/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E106" totalsRowShown="0">
  <autoFilter ref="A1:E106" xr:uid="{3B945747-7367-427A-AAC7-505CBA012648}"/>
  <tableColumns count="5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63"/>
    <tableColumn id="2" xr3:uid="{7D3DE1B2-1C0E-4423-A4AE-1083B5A37EC1}" name="EXISTENCIA" dataDxfId="62">
      <calculatedColumnFormula>SUMIFS(hmov[CANTIDAD],hmov[IDPRODUCTO],prod[[#This Row],[IDPROD]],hmov[INOUT],1)-SUMIFS(hmov[CANTIDAD],hmov[IDPRODUCTO],prod[[#This Row],[IDPROD]],hmov[INOUT],0)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10" totalsRowShown="0">
  <autoFilter ref="A1:B10" xr:uid="{74419119-D8F6-4266-96A2-C36B2C1800E7}"/>
  <tableColumns count="2">
    <tableColumn id="1" xr3:uid="{AB441392-509E-457D-BC1C-F98AE59CEA69}" name="PROVEEDOR"/>
    <tableColumn id="2" xr3:uid="{CC5219C6-52C3-4D9A-983C-5A45FF275D80}" name="IDPROVEEDOR" dataDxfId="6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8" totalsRowShown="0">
  <autoFilter ref="A1:B8" xr:uid="{554B3E85-BFD7-48CA-AAF6-1803BC020CDB}"/>
  <tableColumns count="2">
    <tableColumn id="1" xr3:uid="{19759173-5F83-4587-A626-4E872A8F979A}" name="SUCURSAL"/>
    <tableColumn id="2" xr3:uid="{3B9A8D59-E50D-41F3-B647-CE78BA4CF77B}" name="IDSUCURSAL" dataDxfId="6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21" totalsRowShown="0">
  <autoFilter ref="A1:B21" xr:uid="{35AA69EC-C32D-4CB3-A62A-2015B0F2393A}"/>
  <tableColumns count="2">
    <tableColumn id="1" xr3:uid="{A9450D9B-7A4D-4449-BFDC-175A5CE41CF4}" name="AREA"/>
    <tableColumn id="2" xr3:uid="{6809EBFD-1386-4B71-AE0F-87814E7A0A60}" name="IDAREA" dataDxfId="5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 dataDxfId="43">
  <autoFilter ref="A1:C4" xr:uid="{FF135F6C-5B17-4397-B23B-CE659D44BA21}"/>
  <tableColumns count="3">
    <tableColumn id="1" xr3:uid="{E91BAEA4-7E0B-4111-9A84-E0C22F051EAB}" name="TIPO" dataDxfId="46"/>
    <tableColumn id="2" xr3:uid="{550F5926-7656-4FD9-85A9-E80D30ED1D64}" name="INOUT" dataDxfId="45"/>
    <tableColumn id="3" xr3:uid="{E28FD73B-32D3-4F7E-9EF7-97353D61553C}" name="IDTIPO" dataDxfId="4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10" totalsRowShown="0" dataDxfId="58">
  <autoFilter ref="A1:K10" xr:uid="{871C0EDB-2083-4D68-A429-91958B4E1066}"/>
  <tableColumns count="11">
    <tableColumn id="1" xr3:uid="{9B9544CD-669A-4781-A4A2-D72DA8F92247}" name="FECHA" dataDxfId="57"/>
    <tableColumn id="2" xr3:uid="{8205D17E-783C-487B-9559-9823D34C6208}" name="IDMOV" dataDxfId="56"/>
    <tableColumn id="3" xr3:uid="{8AF9B385-5AB1-4B05-8A15-833AFC66DA32}" name="IDTIPO" dataDxfId="55"/>
    <tableColumn id="4" xr3:uid="{C955AA5A-6BA6-4089-A0A3-BC75A339CFFA}" name="INOUT" dataDxfId="54"/>
    <tableColumn id="9" xr3:uid="{BB261342-3672-4DF6-803D-690AF9EC4A30}" name="IDSUCURSAL" dataDxfId="53"/>
    <tableColumn id="10" xr3:uid="{0BFBCF4C-D959-497F-AB46-9212EC59287B}" name="IDPROVEEDOR" dataDxfId="52"/>
    <tableColumn id="5" xr3:uid="{D4298A57-8EBD-4CA7-A753-9C36D40A5E0F}" name="IDPRODUCTO" dataDxfId="51"/>
    <tableColumn id="6" xr3:uid="{CB70D502-2F78-4FBA-8BFB-6E431BD5E12D}" name="CANTIDAD" dataDxfId="50"/>
    <tableColumn id="7" xr3:uid="{DE3F597D-B42D-458E-B9B1-5553201A990B}" name="COSTO" dataDxfId="49"/>
    <tableColumn id="11" xr3:uid="{B3946F2C-D42F-4DE8-B57E-B72EA1838C26}" name="LOTE" dataDxfId="48"/>
    <tableColumn id="8" xr3:uid="{21B09C58-A40A-4AB4-819C-446B7BC20964}" name="FECHA_CAD" dataDxfId="4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184E1C-613C-4373-BBD1-1C0B41D6450E}" name="alot" displayName="alot" ref="A1:F6" totalsRowShown="0">
  <autoFilter ref="A1:F6" xr:uid="{54184E1C-613C-4373-BBD1-1C0B41D6450E}"/>
  <tableColumns count="6">
    <tableColumn id="1" xr3:uid="{62AEDEB5-30C9-435E-9014-97A250EB2EC0}" name="LOTE"/>
    <tableColumn id="2" xr3:uid="{1FC52D93-902C-4EEF-A6E7-6036771A9FD0}" name="PRODUCTO"/>
    <tableColumn id="3" xr3:uid="{F6E7C12F-A1C0-4928-B32B-C26CAC0D5FAD}" name="AREA"/>
    <tableColumn id="4" xr3:uid="{7F43B2FA-40AF-4C17-BE05-AB811C1C5E8A}" name="CANTIDAD"/>
    <tableColumn id="5" xr3:uid="{E356FAB5-292A-43D2-9436-9A39219246D4}" name="COSTO"/>
    <tableColumn id="6" xr3:uid="{EF5E2C0D-6183-4FBC-8E5C-7A29FEECF72D}" name="FECHACA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1031FE-242D-4793-9E91-BA38AB6CC462}" name="aent" displayName="aent" ref="A1:E5" totalsRowShown="0">
  <autoFilter ref="A1:E5" xr:uid="{231031FE-242D-4793-9E91-BA38AB6CC462}"/>
  <tableColumns count="5">
    <tableColumn id="1" xr3:uid="{21A90347-DF82-49DB-B45E-854C33C2A125}" name="PROVEEDOR"/>
    <tableColumn id="2" xr3:uid="{0A17E0A5-A301-49A3-86EE-FA85078C11E5}" name="AREA"/>
    <tableColumn id="3" xr3:uid="{354F13E8-3A01-4579-A3C8-6C4956637DF0}" name="PRODUCTO"/>
    <tableColumn id="4" xr3:uid="{E93AB601-28B6-48C9-AF1F-486F14439000}" name="CANTIDAD"/>
    <tableColumn id="5" xr3:uid="{B4ED06CD-3C8B-42B4-B769-C9D9AEA0CA8A}" name="COST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42A2DD-FD3D-49CE-90A5-A3F4329C1DB0}" name="asal" displayName="asal" ref="A1:E3" totalsRowShown="0">
  <autoFilter ref="A1:E3" xr:uid="{B742A2DD-FD3D-49CE-90A5-A3F4329C1DB0}"/>
  <tableColumns count="5">
    <tableColumn id="1" xr3:uid="{D33608A4-2F31-4075-AEB5-AE51F34CC422}" name="SUCURSAL"/>
    <tableColumn id="2" xr3:uid="{39E7AA71-F4B5-442F-B757-DD75BED69EFA}" name="AREA"/>
    <tableColumn id="3" xr3:uid="{5B1827E3-432F-4C54-81EE-EE34462F38C3}" name="PRODUCTO"/>
    <tableColumn id="4" xr3:uid="{1BD81D31-EBB3-4795-B6A5-C092408069AA}" name="CANTIDAD"/>
    <tableColumn id="5" xr3:uid="{44115E86-BCD1-47BC-86A4-DEA40D32624D}" name="COS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Inv">
    <tabColor rgb="FF00B050"/>
  </sheetPr>
  <dimension ref="A1:E15"/>
  <sheetViews>
    <sheetView topLeftCell="A2" zoomScaleNormal="100" workbookViewId="0">
      <selection activeCell="D7" sqref="D7"/>
    </sheetView>
  </sheetViews>
  <sheetFormatPr baseColWidth="10" defaultRowHeight="15" x14ac:dyDescent="0.25"/>
  <cols>
    <col min="1" max="1" width="17.7109375" style="13" bestFit="1" customWidth="1"/>
    <col min="2" max="2" width="17.28515625" style="9" bestFit="1" customWidth="1"/>
    <col min="3" max="3" width="14" style="16" bestFit="1" customWidth="1"/>
    <col min="4" max="4" width="14.140625" style="20" bestFit="1" customWidth="1"/>
    <col min="5" max="5" width="11.42578125" customWidth="1"/>
  </cols>
  <sheetData>
    <row r="1" spans="1:5" hidden="1" x14ac:dyDescent="0.25"/>
    <row r="4" spans="1:5" x14ac:dyDescent="0.25">
      <c r="A4" s="19" t="s">
        <v>169</v>
      </c>
      <c r="B4" s="9" t="s">
        <v>168</v>
      </c>
      <c r="C4" s="9" t="s">
        <v>174</v>
      </c>
      <c r="D4" s="20" t="s">
        <v>179</v>
      </c>
    </row>
    <row r="5" spans="1:5" x14ac:dyDescent="0.25">
      <c r="A5" s="13" t="s">
        <v>36</v>
      </c>
      <c r="B5" s="17">
        <v>10</v>
      </c>
      <c r="C5" s="17">
        <v>1000</v>
      </c>
      <c r="D5" s="20">
        <v>44739</v>
      </c>
      <c r="E5" s="17"/>
    </row>
    <row r="6" spans="1:5" x14ac:dyDescent="0.25">
      <c r="A6" s="13" t="s">
        <v>38</v>
      </c>
      <c r="B6" s="17">
        <v>43</v>
      </c>
      <c r="C6" s="17">
        <v>1530</v>
      </c>
      <c r="D6" s="20">
        <v>44739</v>
      </c>
      <c r="E6" s="17"/>
    </row>
    <row r="7" spans="1:5" x14ac:dyDescent="0.25">
      <c r="A7" s="13" t="s">
        <v>167</v>
      </c>
      <c r="B7" s="17">
        <v>53</v>
      </c>
      <c r="C7" s="17">
        <v>2530</v>
      </c>
      <c r="D7" s="20">
        <v>44739</v>
      </c>
      <c r="E7" s="17"/>
    </row>
    <row r="8" spans="1:5" x14ac:dyDescent="0.25">
      <c r="A8"/>
      <c r="B8"/>
      <c r="C8"/>
      <c r="D8"/>
      <c r="E8" s="17"/>
    </row>
    <row r="9" spans="1:5" x14ac:dyDescent="0.25">
      <c r="A9"/>
      <c r="B9"/>
      <c r="C9"/>
      <c r="D9"/>
      <c r="E9" s="17"/>
    </row>
    <row r="10" spans="1:5" x14ac:dyDescent="0.25">
      <c r="A10"/>
      <c r="B10"/>
      <c r="C10"/>
      <c r="D10"/>
      <c r="E10" s="17"/>
    </row>
    <row r="11" spans="1:5" x14ac:dyDescent="0.25">
      <c r="A11"/>
      <c r="B11"/>
      <c r="C11"/>
      <c r="D11"/>
      <c r="E11" s="17"/>
    </row>
    <row r="12" spans="1:5" x14ac:dyDescent="0.25">
      <c r="A12"/>
      <c r="B12"/>
      <c r="C12"/>
      <c r="D12"/>
      <c r="E12" s="17"/>
    </row>
    <row r="13" spans="1:5" x14ac:dyDescent="0.25">
      <c r="A13"/>
      <c r="B13"/>
      <c r="C13"/>
      <c r="D13"/>
      <c r="E13" s="17"/>
    </row>
    <row r="14" spans="1:5" x14ac:dyDescent="0.25">
      <c r="A14"/>
      <c r="B14"/>
      <c r="C14"/>
      <c r="D14"/>
      <c r="E14" s="17"/>
    </row>
    <row r="15" spans="1:5" x14ac:dyDescent="0.25">
      <c r="A15"/>
      <c r="B15"/>
      <c r="C15"/>
      <c r="D15"/>
      <c r="E15" s="17"/>
    </row>
  </sheetData>
  <pageMargins left="0.7" right="0.7" top="0.75" bottom="0.75" header="0.3" footer="0.3"/>
  <pageSetup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ctualiza">
                <anchor moveWithCells="1" sizeWithCells="1">
                  <from>
                    <xdr:col>5</xdr:col>
                    <xdr:colOff>19050</xdr:colOff>
                    <xdr:row>2</xdr:row>
                    <xdr:rowOff>171450</xdr:rowOff>
                  </from>
                  <to>
                    <xdr:col>5</xdr:col>
                    <xdr:colOff>733425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 codeName="dEnt">
    <tabColor rgb="FF00B050"/>
  </sheetPr>
  <dimension ref="A1:C42"/>
  <sheetViews>
    <sheetView topLeftCell="A34" zoomScale="85" zoomScaleNormal="85" workbookViewId="0">
      <selection activeCell="A46" sqref="A46"/>
    </sheetView>
  </sheetViews>
  <sheetFormatPr baseColWidth="10" defaultRowHeight="15" x14ac:dyDescent="0.25"/>
  <cols>
    <col min="1" max="1" width="21.140625" style="13" bestFit="1" customWidth="1"/>
    <col min="2" max="2" width="15.5703125" style="9" bestFit="1" customWidth="1"/>
    <col min="3" max="3" width="12.42578125" style="16" bestFit="1" customWidth="1"/>
  </cols>
  <sheetData>
    <row r="1" hidden="1" x14ac:dyDescent="0.25"/>
    <row r="36" spans="1:3" x14ac:dyDescent="0.25">
      <c r="A36" s="19" t="s">
        <v>169</v>
      </c>
      <c r="B36" s="9" t="s">
        <v>170</v>
      </c>
      <c r="C36" s="9" t="s">
        <v>171</v>
      </c>
    </row>
    <row r="37" spans="1:3" x14ac:dyDescent="0.25">
      <c r="A37" s="13" t="s">
        <v>140</v>
      </c>
      <c r="B37" s="17">
        <v>40</v>
      </c>
      <c r="C37" s="17">
        <v>33</v>
      </c>
    </row>
    <row r="38" spans="1:3" x14ac:dyDescent="0.25">
      <c r="A38" s="13" t="s">
        <v>79</v>
      </c>
      <c r="B38" s="17">
        <v>75</v>
      </c>
      <c r="C38" s="17">
        <v>188</v>
      </c>
    </row>
    <row r="39" spans="1:3" x14ac:dyDescent="0.25">
      <c r="A39" s="14" t="s">
        <v>38</v>
      </c>
      <c r="B39" s="17">
        <v>75</v>
      </c>
      <c r="C39" s="17">
        <v>188</v>
      </c>
    </row>
    <row r="40" spans="1:3" x14ac:dyDescent="0.25">
      <c r="A40" s="15" t="s">
        <v>39</v>
      </c>
      <c r="B40" s="17">
        <v>10</v>
      </c>
      <c r="C40" s="17">
        <v>34</v>
      </c>
    </row>
    <row r="41" spans="1:3" x14ac:dyDescent="0.25">
      <c r="A41" s="15" t="s">
        <v>37</v>
      </c>
      <c r="B41" s="17">
        <v>65</v>
      </c>
      <c r="C41" s="17">
        <v>154</v>
      </c>
    </row>
    <row r="42" spans="1:3" x14ac:dyDescent="0.25">
      <c r="A42" s="13" t="s">
        <v>167</v>
      </c>
      <c r="B42" s="17">
        <v>115</v>
      </c>
      <c r="C42" s="17">
        <v>221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ualiza">
                <anchor moveWithCells="1" sizeWithCells="1">
                  <from>
                    <xdr:col>4</xdr:col>
                    <xdr:colOff>28575</xdr:colOff>
                    <xdr:row>34</xdr:row>
                    <xdr:rowOff>180975</xdr:rowOff>
                  </from>
                  <to>
                    <xdr:col>4</xdr:col>
                    <xdr:colOff>742950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dSal">
    <tabColor rgb="FF00B050"/>
  </sheetPr>
  <dimension ref="A1:C9"/>
  <sheetViews>
    <sheetView topLeftCell="A2" workbookViewId="0">
      <selection activeCell="B28" sqref="B28"/>
    </sheetView>
  </sheetViews>
  <sheetFormatPr baseColWidth="10" defaultRowHeight="15" x14ac:dyDescent="0.25"/>
  <cols>
    <col min="1" max="1" width="18.7109375" style="13" customWidth="1"/>
    <col min="2" max="2" width="18.7109375" style="9" customWidth="1"/>
    <col min="3" max="3" width="18.7109375" style="16" customWidth="1"/>
  </cols>
  <sheetData>
    <row r="1" spans="1:3" hidden="1" x14ac:dyDescent="0.25"/>
    <row r="4" spans="1:3" x14ac:dyDescent="0.25">
      <c r="A4" s="18" t="s">
        <v>169</v>
      </c>
      <c r="B4" s="9" t="s">
        <v>172</v>
      </c>
      <c r="C4" s="16" t="s">
        <v>173</v>
      </c>
    </row>
    <row r="5" spans="1:3" x14ac:dyDescent="0.25">
      <c r="A5" s="13" t="s">
        <v>148</v>
      </c>
      <c r="B5" s="17">
        <v>65</v>
      </c>
      <c r="C5" s="16">
        <v>11</v>
      </c>
    </row>
    <row r="6" spans="1:3" x14ac:dyDescent="0.25">
      <c r="A6" s="13" t="s">
        <v>38</v>
      </c>
      <c r="B6" s="17">
        <v>65</v>
      </c>
      <c r="C6" s="16">
        <v>11</v>
      </c>
    </row>
    <row r="7" spans="1:3" x14ac:dyDescent="0.25">
      <c r="A7" s="13" t="s">
        <v>39</v>
      </c>
      <c r="B7" s="17">
        <v>20</v>
      </c>
      <c r="C7" s="16">
        <v>0</v>
      </c>
    </row>
    <row r="8" spans="1:3" x14ac:dyDescent="0.25">
      <c r="A8" s="13" t="s">
        <v>37</v>
      </c>
      <c r="B8" s="17">
        <v>45</v>
      </c>
      <c r="C8" s="16">
        <v>11</v>
      </c>
    </row>
    <row r="9" spans="1:3" x14ac:dyDescent="0.25">
      <c r="A9" s="13" t="s">
        <v>167</v>
      </c>
      <c r="B9" s="17">
        <v>65</v>
      </c>
      <c r="C9" s="16">
        <v>11</v>
      </c>
    </row>
  </sheetData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ctualiza">
                <anchor moveWithCells="1" sizeWithCells="1">
                  <from>
                    <xdr:col>3</xdr:col>
                    <xdr:colOff>742950</xdr:colOff>
                    <xdr:row>2</xdr:row>
                    <xdr:rowOff>171450</xdr:rowOff>
                  </from>
                  <to>
                    <xdr:col>5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tabSelected="1" zoomScale="85" zoomScaleNormal="85" workbookViewId="0">
      <selection activeCell="J17" sqref="J17"/>
    </sheetView>
  </sheetViews>
  <sheetFormatPr baseColWidth="10" defaultRowHeight="15" x14ac:dyDescent="0.25"/>
  <cols>
    <col min="1" max="2" width="17.7109375" customWidth="1"/>
    <col min="3" max="3" width="17.7109375" style="8" customWidth="1"/>
    <col min="4" max="6" width="17.7109375" customWidth="1"/>
  </cols>
  <sheetData>
    <row r="2" spans="1:6" x14ac:dyDescent="0.25">
      <c r="A2" s="3" t="s">
        <v>4</v>
      </c>
      <c r="B2" s="5">
        <v>44739</v>
      </c>
    </row>
    <row r="3" spans="1:6" x14ac:dyDescent="0.25">
      <c r="A3" s="3" t="s">
        <v>5</v>
      </c>
      <c r="B3" s="1" t="s">
        <v>3</v>
      </c>
    </row>
    <row r="4" spans="1:6" x14ac:dyDescent="0.25">
      <c r="A4" s="3" t="s">
        <v>6</v>
      </c>
      <c r="B4" s="1" t="s">
        <v>3</v>
      </c>
    </row>
    <row r="5" spans="1:6" x14ac:dyDescent="0.25">
      <c r="A5" s="3" t="s">
        <v>7</v>
      </c>
      <c r="B5" s="1" t="s">
        <v>1</v>
      </c>
    </row>
    <row r="6" spans="1:6" x14ac:dyDescent="0.25">
      <c r="A6" s="6" t="s">
        <v>8</v>
      </c>
      <c r="B6" s="4">
        <f>INDEX(tmov[INOUT],MATCH(nTIPO_MOV,tmov[TIPO],0))</f>
        <v>0</v>
      </c>
    </row>
    <row r="8" spans="1:6" x14ac:dyDescent="0.25">
      <c r="A8" s="2" t="s">
        <v>9</v>
      </c>
      <c r="B8" s="2" t="s">
        <v>10</v>
      </c>
      <c r="C8" s="11" t="s">
        <v>11</v>
      </c>
      <c r="D8" s="2" t="s">
        <v>12</v>
      </c>
      <c r="E8" s="2" t="s">
        <v>13</v>
      </c>
      <c r="F8" s="2" t="s">
        <v>14</v>
      </c>
    </row>
    <row r="9" spans="1:6" x14ac:dyDescent="0.25">
      <c r="A9" s="1"/>
      <c r="B9" s="1"/>
      <c r="C9" s="10"/>
      <c r="D9" s="1"/>
      <c r="E9" s="7"/>
      <c r="F9" s="1"/>
    </row>
    <row r="10" spans="1:6" x14ac:dyDescent="0.25">
      <c r="A10" s="1"/>
      <c r="B10" s="1"/>
      <c r="C10" s="10"/>
      <c r="D10" s="1"/>
      <c r="E10" s="7"/>
      <c r="F10" s="1"/>
    </row>
    <row r="11" spans="1:6" x14ac:dyDescent="0.25">
      <c r="A11" s="1"/>
      <c r="B11" s="1"/>
      <c r="C11" s="10"/>
      <c r="D11" s="1"/>
      <c r="E11" s="7"/>
      <c r="F11" s="1"/>
    </row>
    <row r="12" spans="1:6" x14ac:dyDescent="0.25">
      <c r="A12" s="1"/>
      <c r="B12" s="1"/>
      <c r="C12" s="10"/>
      <c r="D12" s="1"/>
      <c r="E12" s="1"/>
      <c r="F12" s="1"/>
    </row>
    <row r="13" spans="1:6" x14ac:dyDescent="0.25">
      <c r="A13" s="1"/>
      <c r="B13" s="1"/>
      <c r="C13" s="10"/>
      <c r="D13" s="1"/>
      <c r="E13" s="1"/>
      <c r="F13" s="1"/>
    </row>
    <row r="14" spans="1:6" x14ac:dyDescent="0.25">
      <c r="A14" s="1"/>
      <c r="B14" s="1"/>
      <c r="C14" s="10"/>
      <c r="D14" s="1"/>
      <c r="E14" s="1"/>
      <c r="F14" s="1"/>
    </row>
    <row r="15" spans="1:6" x14ac:dyDescent="0.25">
      <c r="A15" s="1"/>
      <c r="B15" s="1"/>
      <c r="C15" s="10"/>
      <c r="D15" s="1"/>
      <c r="E15" s="1"/>
      <c r="F15" s="1"/>
    </row>
    <row r="16" spans="1:6" x14ac:dyDescent="0.25">
      <c r="A16" s="1"/>
      <c r="B16" s="1"/>
      <c r="C16" s="10"/>
      <c r="D16" s="1"/>
      <c r="E16" s="1"/>
      <c r="F16" s="1"/>
    </row>
    <row r="17" spans="1:6" x14ac:dyDescent="0.25">
      <c r="A17" s="1"/>
      <c r="B17" s="1"/>
      <c r="C17" s="10"/>
      <c r="D17" s="1"/>
      <c r="E17" s="1"/>
      <c r="F17" s="1"/>
    </row>
    <row r="18" spans="1:6" x14ac:dyDescent="0.25">
      <c r="A18" s="1"/>
      <c r="B18" s="1"/>
      <c r="C18" s="10"/>
      <c r="D18" s="1"/>
      <c r="E18" s="1"/>
      <c r="F18" s="1"/>
    </row>
    <row r="19" spans="1:6" x14ac:dyDescent="0.25">
      <c r="A19" s="1"/>
      <c r="B19" s="1"/>
      <c r="C19" s="10"/>
      <c r="D19" s="1"/>
      <c r="E19" s="1"/>
      <c r="F19" s="1"/>
    </row>
    <row r="20" spans="1:6" x14ac:dyDescent="0.25">
      <c r="A20" s="1"/>
      <c r="B20" s="1"/>
      <c r="C20" s="10"/>
      <c r="D20" s="1"/>
      <c r="E20" s="1"/>
      <c r="F20" s="1"/>
    </row>
    <row r="21" spans="1:6" x14ac:dyDescent="0.25">
      <c r="A21" s="1"/>
      <c r="B21" s="1"/>
      <c r="C21" s="10"/>
      <c r="D21" s="1"/>
      <c r="E21" s="1"/>
      <c r="F21" s="1"/>
    </row>
    <row r="22" spans="1:6" x14ac:dyDescent="0.25">
      <c r="A22" s="1"/>
      <c r="B22" s="1"/>
      <c r="C22" s="10"/>
      <c r="D22" s="1"/>
      <c r="E22" s="1"/>
      <c r="F22" s="1"/>
    </row>
    <row r="23" spans="1:6" x14ac:dyDescent="0.25">
      <c r="A23" s="1"/>
      <c r="B23" s="1"/>
      <c r="C23" s="10"/>
      <c r="D23" s="1"/>
      <c r="E23" s="1"/>
      <c r="F23" s="1"/>
    </row>
    <row r="24" spans="1:6" x14ac:dyDescent="0.25">
      <c r="A24" s="1"/>
      <c r="B24" s="1"/>
      <c r="C24" s="10"/>
      <c r="D24" s="1"/>
      <c r="E24" s="1"/>
      <c r="F24" s="1"/>
    </row>
    <row r="25" spans="1:6" x14ac:dyDescent="0.25">
      <c r="A25" s="1"/>
      <c r="B25" s="1"/>
      <c r="C25" s="10"/>
      <c r="D25" s="1"/>
      <c r="E25" s="1"/>
      <c r="F25" s="1"/>
    </row>
    <row r="26" spans="1:6" x14ac:dyDescent="0.25">
      <c r="A26" s="1"/>
      <c r="B26" s="1"/>
      <c r="C26" s="10"/>
      <c r="D26" s="1"/>
      <c r="E26" s="1"/>
      <c r="F26" s="1"/>
    </row>
    <row r="27" spans="1:6" x14ac:dyDescent="0.25">
      <c r="A27" s="1"/>
      <c r="B27" s="1"/>
      <c r="C27" s="10"/>
      <c r="D27" s="1"/>
      <c r="E27" s="1"/>
      <c r="F27" s="1"/>
    </row>
    <row r="28" spans="1:6" x14ac:dyDescent="0.25">
      <c r="A28" s="1"/>
      <c r="B28" s="1"/>
      <c r="C28" s="10"/>
      <c r="D28" s="1"/>
      <c r="E28" s="1"/>
      <c r="F28" s="1"/>
    </row>
    <row r="29" spans="1:6" x14ac:dyDescent="0.25">
      <c r="A29" s="1"/>
      <c r="B29" s="1"/>
      <c r="C29" s="10"/>
      <c r="D29" s="1"/>
      <c r="E29" s="1"/>
      <c r="F29" s="1"/>
    </row>
    <row r="30" spans="1:6" x14ac:dyDescent="0.25">
      <c r="A30" s="1"/>
      <c r="B30" s="1"/>
      <c r="C30" s="10"/>
      <c r="D30" s="1"/>
      <c r="E30" s="1"/>
      <c r="F30" s="1"/>
    </row>
    <row r="31" spans="1:6" x14ac:dyDescent="0.25">
      <c r="A31" s="1"/>
      <c r="B31" s="1"/>
      <c r="C31" s="10"/>
      <c r="D31" s="1"/>
      <c r="E31" s="1"/>
      <c r="F31" s="1"/>
    </row>
  </sheetData>
  <dataValidations count="7">
    <dataValidation type="list" allowBlank="1" showInputMessage="1" showErrorMessage="1" sqref="B5" xr:uid="{B83B1FAD-6270-45F2-84F0-0D67766BE56F}">
      <formula1>"compra,merma,traspaso"</formula1>
    </dataValidation>
    <dataValidation type="list" allowBlank="1" showInputMessage="1" showErrorMessage="1" sqref="B3 B4" xr:uid="{766B0FB2-2597-4EF0-BC08-15610216AFB7}">
      <formula1>"na"</formula1>
    </dataValidation>
    <dataValidation type="list" allowBlank="1" showInputMessage="1" showErrorMessage="1" sqref="B10" xr:uid="{272C9029-CB46-43A5-B75A-39360409149F}">
      <formula1>"PAQUETE"</formula1>
    </dataValidation>
    <dataValidation type="list" allowBlank="1" showInputMessage="1" showErrorMessage="1" sqref="C10" xr:uid="{460E4A91-552B-4505-9483-1A70D9AC257F}">
      <formula1>"ta333,ta333"</formula1>
    </dataValidation>
    <dataValidation type="list" allowBlank="1" showInputMessage="1" showErrorMessage="1" sqref="E10" xr:uid="{575EC9B4-0E58-43C5-BEB4-A720D6E03E38}">
      <formula1>"550"</formula1>
    </dataValidation>
    <dataValidation type="decimal" allowBlank="1" showInputMessage="1" showErrorMessage="1" errorTitle="Error" error="Excede las existencias" sqref="D10" xr:uid="{F9DD860E-09A4-4C9D-9D46-0CAE021A62E4}">
      <formula1>0</formula1>
      <formula2>10</formula2>
    </dataValidation>
    <dataValidation type="list" allowBlank="1" showInputMessage="1" showErrorMessage="1" sqref="A9:A31" xr:uid="{B9DDEA57-D9AE-47E1-A9F3-603619CDCDDC}">
      <formula1>"TUBO ROJO,TUBO LILA,,,"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E106"/>
  <sheetViews>
    <sheetView workbookViewId="0">
      <selection activeCell="A2" sqref="A2"/>
    </sheetView>
  </sheetViews>
  <sheetFormatPr baseColWidth="10" defaultRowHeight="15" x14ac:dyDescent="0.25"/>
  <cols>
    <col min="1" max="8" width="15.7109375" customWidth="1"/>
  </cols>
  <sheetData>
    <row r="1" spans="1:5" x14ac:dyDescent="0.25">
      <c r="A1" t="s">
        <v>9</v>
      </c>
      <c r="B1" t="s">
        <v>10</v>
      </c>
      <c r="C1" t="s">
        <v>15</v>
      </c>
      <c r="D1" t="s">
        <v>16</v>
      </c>
      <c r="E1" t="s">
        <v>17</v>
      </c>
    </row>
    <row r="2" spans="1:5" x14ac:dyDescent="0.25">
      <c r="A2" t="s">
        <v>34</v>
      </c>
      <c r="B2" t="s">
        <v>35</v>
      </c>
      <c r="C2" t="s">
        <v>36</v>
      </c>
      <c r="D2" s="1">
        <v>1</v>
      </c>
      <c r="E2">
        <f>SUMIFS(hmov[CANTIDAD],hmov[IDPRODUCTO],prod[[#This Row],[IDPROD]],hmov[INOUT],1)-SUMIFS(hmov[CANTIDAD],hmov[IDPRODUCTO],prod[[#This Row],[IDPROD]],hmov[INOUT],0)</f>
        <v>0</v>
      </c>
    </row>
    <row r="3" spans="1:5" x14ac:dyDescent="0.25">
      <c r="A3" t="s">
        <v>37</v>
      </c>
      <c r="B3" t="s">
        <v>35</v>
      </c>
      <c r="C3" t="s">
        <v>38</v>
      </c>
      <c r="D3" s="1">
        <v>2</v>
      </c>
      <c r="E3">
        <f>SUMIFS(hmov[CANTIDAD],hmov[IDPRODUCTO],prod[[#This Row],[IDPROD]],hmov[INOUT],1)-SUMIFS(hmov[CANTIDAD],hmov[IDPRODUCTO],prod[[#This Row],[IDPROD]],hmov[INOUT],0)</f>
        <v>3</v>
      </c>
    </row>
    <row r="4" spans="1:5" x14ac:dyDescent="0.25">
      <c r="A4" t="s">
        <v>39</v>
      </c>
      <c r="B4" t="s">
        <v>35</v>
      </c>
      <c r="C4" t="s">
        <v>38</v>
      </c>
      <c r="D4" s="1">
        <v>3</v>
      </c>
      <c r="E4">
        <f>SUMIFS(hmov[CANTIDAD],hmov[IDPRODUCTO],prod[[#This Row],[IDPROD]],hmov[INOUT],1)-SUMIFS(hmov[CANTIDAD],hmov[IDPRODUCTO],prod[[#This Row],[IDPROD]],hmov[INOUT],0)</f>
        <v>0</v>
      </c>
    </row>
    <row r="5" spans="1:5" x14ac:dyDescent="0.25">
      <c r="A5" t="s">
        <v>40</v>
      </c>
      <c r="B5" t="s">
        <v>35</v>
      </c>
      <c r="C5" t="s">
        <v>38</v>
      </c>
      <c r="D5" s="1">
        <v>4</v>
      </c>
      <c r="E5" s="8">
        <f>SUMIFS(hmov[CANTIDAD],hmov[IDPRODUCTO],prod[[#This Row],[IDPROD]],hmov[INOUT],1)-SUMIFS(hmov[CANTIDAD],hmov[IDPRODUCTO],prod[[#This Row],[IDPROD]],hmov[INOUT],0)</f>
        <v>20</v>
      </c>
    </row>
    <row r="6" spans="1:5" x14ac:dyDescent="0.25">
      <c r="A6" t="s">
        <v>41</v>
      </c>
      <c r="B6" t="s">
        <v>35</v>
      </c>
      <c r="C6" t="s">
        <v>38</v>
      </c>
      <c r="D6" s="1">
        <v>5</v>
      </c>
      <c r="E6" s="8">
        <f>SUMIFS(hmov[CANTIDAD],hmov[IDPRODUCTO],prod[[#This Row],[IDPROD]],hmov[INOUT],1)-SUMIFS(hmov[CANTIDAD],hmov[IDPRODUCTO],prod[[#This Row],[IDPROD]],hmov[INOUT],0)</f>
        <v>0</v>
      </c>
    </row>
    <row r="7" spans="1:5" x14ac:dyDescent="0.25">
      <c r="A7" t="s">
        <v>42</v>
      </c>
      <c r="B7" t="s">
        <v>43</v>
      </c>
      <c r="C7" t="s">
        <v>44</v>
      </c>
      <c r="D7" s="1">
        <v>6</v>
      </c>
      <c r="E7" s="8">
        <f>SUMIFS(hmov[CANTIDAD],hmov[IDPRODUCTO],prod[[#This Row],[IDPROD]],hmov[INOUT],1)-SUMIFS(hmov[CANTIDAD],hmov[IDPRODUCTO],prod[[#This Row],[IDPROD]],hmov[INOUT],0)</f>
        <v>0</v>
      </c>
    </row>
    <row r="8" spans="1:5" x14ac:dyDescent="0.25">
      <c r="A8" t="s">
        <v>45</v>
      </c>
      <c r="B8" t="s">
        <v>46</v>
      </c>
      <c r="C8" t="s">
        <v>44</v>
      </c>
      <c r="D8" s="1">
        <v>7</v>
      </c>
      <c r="E8" s="8">
        <f>SUMIFS(hmov[CANTIDAD],hmov[IDPRODUCTO],prod[[#This Row],[IDPROD]],hmov[INOUT],1)-SUMIFS(hmov[CANTIDAD],hmov[IDPRODUCTO],prod[[#This Row],[IDPROD]],hmov[INOUT],0)</f>
        <v>0</v>
      </c>
    </row>
    <row r="9" spans="1:5" x14ac:dyDescent="0.25">
      <c r="A9" t="s">
        <v>47</v>
      </c>
      <c r="B9" t="s">
        <v>35</v>
      </c>
      <c r="C9" t="s">
        <v>48</v>
      </c>
      <c r="D9" s="1">
        <v>8</v>
      </c>
      <c r="E9" s="8">
        <f>SUMIFS(hmov[CANTIDAD],hmov[IDPRODUCTO],prod[[#This Row],[IDPROD]],hmov[INOUT],1)-SUMIFS(hmov[CANTIDAD],hmov[IDPRODUCTO],prod[[#This Row],[IDPROD]],hmov[INOUT],0)</f>
        <v>0</v>
      </c>
    </row>
    <row r="10" spans="1:5" x14ac:dyDescent="0.25">
      <c r="A10" t="s">
        <v>49</v>
      </c>
      <c r="B10" t="s">
        <v>35</v>
      </c>
      <c r="C10" t="s">
        <v>48</v>
      </c>
      <c r="D10" s="1">
        <v>9</v>
      </c>
      <c r="E10" s="8">
        <f>SUMIFS(hmov[CANTIDAD],hmov[IDPRODUCTO],prod[[#This Row],[IDPROD]],hmov[INOUT],1)-SUMIFS(hmov[CANTIDAD],hmov[IDPRODUCTO],prod[[#This Row],[IDPROD]],hmov[INOUT],0)</f>
        <v>0</v>
      </c>
    </row>
    <row r="11" spans="1:5" x14ac:dyDescent="0.25">
      <c r="A11" t="s">
        <v>50</v>
      </c>
      <c r="B11" t="s">
        <v>51</v>
      </c>
      <c r="C11" t="s">
        <v>48</v>
      </c>
      <c r="D11" s="1">
        <v>10</v>
      </c>
      <c r="E11" s="8">
        <f>SUMIFS(hmov[CANTIDAD],hmov[IDPRODUCTO],prod[[#This Row],[IDPROD]],hmov[INOUT],1)-SUMIFS(hmov[CANTIDAD],hmov[IDPRODUCTO],prod[[#This Row],[IDPROD]],hmov[INOUT],0)</f>
        <v>0</v>
      </c>
    </row>
    <row r="12" spans="1:5" x14ac:dyDescent="0.25">
      <c r="A12" t="s">
        <v>52</v>
      </c>
      <c r="B12" t="s">
        <v>35</v>
      </c>
      <c r="C12" t="s">
        <v>44</v>
      </c>
      <c r="D12" s="1">
        <v>11</v>
      </c>
      <c r="E12" s="8">
        <f>SUMIFS(hmov[CANTIDAD],hmov[IDPRODUCTO],prod[[#This Row],[IDPROD]],hmov[INOUT],1)-SUMIFS(hmov[CANTIDAD],hmov[IDPRODUCTO],prod[[#This Row],[IDPROD]],hmov[INOUT],0)</f>
        <v>0</v>
      </c>
    </row>
    <row r="13" spans="1:5" x14ac:dyDescent="0.25">
      <c r="A13" t="s">
        <v>53</v>
      </c>
      <c r="B13" t="s">
        <v>35</v>
      </c>
      <c r="C13" t="s">
        <v>44</v>
      </c>
      <c r="D13" s="1">
        <v>12</v>
      </c>
      <c r="E13" s="8">
        <f>SUMIFS(hmov[CANTIDAD],hmov[IDPRODUCTO],prod[[#This Row],[IDPROD]],hmov[INOUT],1)-SUMIFS(hmov[CANTIDAD],hmov[IDPRODUCTO],prod[[#This Row],[IDPROD]],hmov[INOUT],0)</f>
        <v>0</v>
      </c>
    </row>
    <row r="14" spans="1:5" x14ac:dyDescent="0.25">
      <c r="A14" t="s">
        <v>54</v>
      </c>
      <c r="B14" t="s">
        <v>35</v>
      </c>
      <c r="C14" t="s">
        <v>48</v>
      </c>
      <c r="D14" s="1">
        <v>13</v>
      </c>
      <c r="E14" s="8">
        <f>SUMIFS(hmov[CANTIDAD],hmov[IDPRODUCTO],prod[[#This Row],[IDPROD]],hmov[INOUT],1)-SUMIFS(hmov[CANTIDAD],hmov[IDPRODUCTO],prod[[#This Row],[IDPROD]],hmov[INOUT],0)</f>
        <v>0</v>
      </c>
    </row>
    <row r="15" spans="1:5" x14ac:dyDescent="0.25">
      <c r="A15" t="s">
        <v>55</v>
      </c>
      <c r="B15" t="s">
        <v>43</v>
      </c>
      <c r="C15" t="s">
        <v>44</v>
      </c>
      <c r="D15" s="1">
        <v>14</v>
      </c>
      <c r="E15" s="8">
        <f>SUMIFS(hmov[CANTIDAD],hmov[IDPRODUCTO],prod[[#This Row],[IDPROD]],hmov[INOUT],1)-SUMIFS(hmov[CANTIDAD],hmov[IDPRODUCTO],prod[[#This Row],[IDPROD]],hmov[INOUT],0)</f>
        <v>0</v>
      </c>
    </row>
    <row r="16" spans="1:5" x14ac:dyDescent="0.25">
      <c r="A16" t="s">
        <v>56</v>
      </c>
      <c r="B16" t="s">
        <v>35</v>
      </c>
      <c r="C16" t="s">
        <v>44</v>
      </c>
      <c r="D16" s="1">
        <v>15</v>
      </c>
      <c r="E16" s="8">
        <f>SUMIFS(hmov[CANTIDAD],hmov[IDPRODUCTO],prod[[#This Row],[IDPROD]],hmov[INOUT],1)-SUMIFS(hmov[CANTIDAD],hmov[IDPRODUCTO],prod[[#This Row],[IDPROD]],hmov[INOUT],0)</f>
        <v>0</v>
      </c>
    </row>
    <row r="17" spans="1:5" x14ac:dyDescent="0.25">
      <c r="A17" t="s">
        <v>57</v>
      </c>
      <c r="B17" t="s">
        <v>35</v>
      </c>
      <c r="C17" t="s">
        <v>44</v>
      </c>
      <c r="D17" s="1">
        <v>16</v>
      </c>
      <c r="E17" s="8">
        <f>SUMIFS(hmov[CANTIDAD],hmov[IDPRODUCTO],prod[[#This Row],[IDPROD]],hmov[INOUT],1)-SUMIFS(hmov[CANTIDAD],hmov[IDPRODUCTO],prod[[#This Row],[IDPROD]],hmov[INOUT],0)</f>
        <v>0</v>
      </c>
    </row>
    <row r="18" spans="1:5" x14ac:dyDescent="0.25">
      <c r="A18" t="s">
        <v>58</v>
      </c>
      <c r="B18" t="s">
        <v>35</v>
      </c>
      <c r="C18" t="s">
        <v>44</v>
      </c>
      <c r="D18" s="1">
        <v>17</v>
      </c>
      <c r="E18" s="8">
        <f>SUMIFS(hmov[CANTIDAD],hmov[IDPRODUCTO],prod[[#This Row],[IDPROD]],hmov[INOUT],1)-SUMIFS(hmov[CANTIDAD],hmov[IDPRODUCTO],prod[[#This Row],[IDPROD]],hmov[INOUT],0)</f>
        <v>0</v>
      </c>
    </row>
    <row r="19" spans="1:5" x14ac:dyDescent="0.25">
      <c r="A19" t="s">
        <v>59</v>
      </c>
      <c r="B19" t="s">
        <v>35</v>
      </c>
      <c r="C19" t="s">
        <v>44</v>
      </c>
      <c r="D19" s="1">
        <v>18</v>
      </c>
      <c r="E19" s="8">
        <f>SUMIFS(hmov[CANTIDAD],hmov[IDPRODUCTO],prod[[#This Row],[IDPROD]],hmov[INOUT],1)-SUMIFS(hmov[CANTIDAD],hmov[IDPRODUCTO],prod[[#This Row],[IDPROD]],hmov[INOUT],0)</f>
        <v>0</v>
      </c>
    </row>
    <row r="20" spans="1:5" x14ac:dyDescent="0.25">
      <c r="A20" t="s">
        <v>60</v>
      </c>
      <c r="B20" t="s">
        <v>35</v>
      </c>
      <c r="C20" t="s">
        <v>44</v>
      </c>
      <c r="D20" s="1">
        <v>19</v>
      </c>
      <c r="E20" s="8">
        <f>SUMIFS(hmov[CANTIDAD],hmov[IDPRODUCTO],prod[[#This Row],[IDPROD]],hmov[INOUT],1)-SUMIFS(hmov[CANTIDAD],hmov[IDPRODUCTO],prod[[#This Row],[IDPROD]],hmov[INOUT],0)</f>
        <v>0</v>
      </c>
    </row>
    <row r="21" spans="1:5" x14ac:dyDescent="0.25">
      <c r="A21" t="s">
        <v>61</v>
      </c>
      <c r="B21" t="s">
        <v>62</v>
      </c>
      <c r="C21" t="s">
        <v>63</v>
      </c>
      <c r="D21" s="1">
        <v>20</v>
      </c>
      <c r="E21" s="8">
        <f>SUMIFS(hmov[CANTIDAD],hmov[IDPRODUCTO],prod[[#This Row],[IDPROD]],hmov[INOUT],1)-SUMIFS(hmov[CANTIDAD],hmov[IDPRODUCTO],prod[[#This Row],[IDPROD]],hmov[INOUT],0)</f>
        <v>0</v>
      </c>
    </row>
    <row r="22" spans="1:5" x14ac:dyDescent="0.25">
      <c r="A22" t="s">
        <v>64</v>
      </c>
      <c r="B22" t="s">
        <v>62</v>
      </c>
      <c r="C22" t="s">
        <v>63</v>
      </c>
      <c r="D22" s="1">
        <v>21</v>
      </c>
      <c r="E22" s="8">
        <f>SUMIFS(hmov[CANTIDAD],hmov[IDPRODUCTO],prod[[#This Row],[IDPROD]],hmov[INOUT],1)-SUMIFS(hmov[CANTIDAD],hmov[IDPRODUCTO],prod[[#This Row],[IDPROD]],hmov[INOUT],0)</f>
        <v>0</v>
      </c>
    </row>
    <row r="23" spans="1:5" x14ac:dyDescent="0.25">
      <c r="A23" t="s">
        <v>65</v>
      </c>
      <c r="B23" t="s">
        <v>62</v>
      </c>
      <c r="C23" t="s">
        <v>63</v>
      </c>
      <c r="D23" s="1">
        <v>22</v>
      </c>
      <c r="E23" s="8">
        <f>SUMIFS(hmov[CANTIDAD],hmov[IDPRODUCTO],prod[[#This Row],[IDPROD]],hmov[INOUT],1)-SUMIFS(hmov[CANTIDAD],hmov[IDPRODUCTO],prod[[#This Row],[IDPROD]],hmov[INOUT],0)</f>
        <v>0</v>
      </c>
    </row>
    <row r="24" spans="1:5" x14ac:dyDescent="0.25">
      <c r="A24" t="s">
        <v>66</v>
      </c>
      <c r="B24" t="s">
        <v>62</v>
      </c>
      <c r="C24" t="s">
        <v>63</v>
      </c>
      <c r="D24" s="1">
        <v>23</v>
      </c>
      <c r="E24" s="8">
        <f>SUMIFS(hmov[CANTIDAD],hmov[IDPRODUCTO],prod[[#This Row],[IDPROD]],hmov[INOUT],1)-SUMIFS(hmov[CANTIDAD],hmov[IDPRODUCTO],prod[[#This Row],[IDPROD]],hmov[INOUT],0)</f>
        <v>0</v>
      </c>
    </row>
    <row r="25" spans="1:5" x14ac:dyDescent="0.25">
      <c r="A25" t="s">
        <v>67</v>
      </c>
      <c r="B25" t="s">
        <v>62</v>
      </c>
      <c r="C25" t="s">
        <v>63</v>
      </c>
      <c r="D25" s="1">
        <v>24</v>
      </c>
      <c r="E25" s="8">
        <f>SUMIFS(hmov[CANTIDAD],hmov[IDPRODUCTO],prod[[#This Row],[IDPROD]],hmov[INOUT],1)-SUMIFS(hmov[CANTIDAD],hmov[IDPRODUCTO],prod[[#This Row],[IDPROD]],hmov[INOUT],0)</f>
        <v>0</v>
      </c>
    </row>
    <row r="26" spans="1:5" x14ac:dyDescent="0.25">
      <c r="A26" t="s">
        <v>68</v>
      </c>
      <c r="B26" t="s">
        <v>51</v>
      </c>
      <c r="C26" t="s">
        <v>48</v>
      </c>
      <c r="D26" s="1">
        <v>25</v>
      </c>
      <c r="E26" s="8">
        <f>SUMIFS(hmov[CANTIDAD],hmov[IDPRODUCTO],prod[[#This Row],[IDPROD]],hmov[INOUT],1)-SUMIFS(hmov[CANTIDAD],hmov[IDPRODUCTO],prod[[#This Row],[IDPROD]],hmov[INOUT],0)</f>
        <v>0</v>
      </c>
    </row>
    <row r="27" spans="1:5" x14ac:dyDescent="0.25">
      <c r="A27" t="s">
        <v>69</v>
      </c>
      <c r="B27" t="s">
        <v>43</v>
      </c>
      <c r="C27" t="s">
        <v>48</v>
      </c>
      <c r="D27" s="1">
        <v>26</v>
      </c>
      <c r="E27" s="8">
        <f>SUMIFS(hmov[CANTIDAD],hmov[IDPRODUCTO],prod[[#This Row],[IDPROD]],hmov[INOUT],1)-SUMIFS(hmov[CANTIDAD],hmov[IDPRODUCTO],prod[[#This Row],[IDPROD]],hmov[INOUT],0)</f>
        <v>0</v>
      </c>
    </row>
    <row r="28" spans="1:5" x14ac:dyDescent="0.25">
      <c r="A28" t="s">
        <v>70</v>
      </c>
      <c r="B28" t="s">
        <v>43</v>
      </c>
      <c r="C28" t="s">
        <v>48</v>
      </c>
      <c r="D28" s="1">
        <v>27</v>
      </c>
      <c r="E28" s="8">
        <f>SUMIFS(hmov[CANTIDAD],hmov[IDPRODUCTO],prod[[#This Row],[IDPROD]],hmov[INOUT],1)-SUMIFS(hmov[CANTIDAD],hmov[IDPRODUCTO],prod[[#This Row],[IDPROD]],hmov[INOUT],0)</f>
        <v>0</v>
      </c>
    </row>
    <row r="29" spans="1:5" x14ac:dyDescent="0.25">
      <c r="A29" t="s">
        <v>71</v>
      </c>
      <c r="B29" t="s">
        <v>43</v>
      </c>
      <c r="C29" t="s">
        <v>48</v>
      </c>
      <c r="D29" s="1">
        <v>28</v>
      </c>
      <c r="E29" s="8">
        <f>SUMIFS(hmov[CANTIDAD],hmov[IDPRODUCTO],prod[[#This Row],[IDPROD]],hmov[INOUT],1)-SUMIFS(hmov[CANTIDAD],hmov[IDPRODUCTO],prod[[#This Row],[IDPROD]],hmov[INOUT],0)</f>
        <v>0</v>
      </c>
    </row>
    <row r="30" spans="1:5" x14ac:dyDescent="0.25">
      <c r="A30" t="s">
        <v>72</v>
      </c>
      <c r="B30" t="s">
        <v>43</v>
      </c>
      <c r="C30" t="s">
        <v>48</v>
      </c>
      <c r="D30" s="1">
        <v>29</v>
      </c>
      <c r="E30" s="8">
        <f>SUMIFS(hmov[CANTIDAD],hmov[IDPRODUCTO],prod[[#This Row],[IDPROD]],hmov[INOUT],1)-SUMIFS(hmov[CANTIDAD],hmov[IDPRODUCTO],prod[[#This Row],[IDPROD]],hmov[INOUT],0)</f>
        <v>0</v>
      </c>
    </row>
    <row r="31" spans="1:5" x14ac:dyDescent="0.25">
      <c r="A31" t="s">
        <v>73</v>
      </c>
      <c r="B31" t="s">
        <v>51</v>
      </c>
      <c r="C31" t="s">
        <v>48</v>
      </c>
      <c r="D31" s="1">
        <v>30</v>
      </c>
      <c r="E31" s="8">
        <f>SUMIFS(hmov[CANTIDAD],hmov[IDPRODUCTO],prod[[#This Row],[IDPROD]],hmov[INOUT],1)-SUMIFS(hmov[CANTIDAD],hmov[IDPRODUCTO],prod[[#This Row],[IDPROD]],hmov[INOUT],0)</f>
        <v>0</v>
      </c>
    </row>
    <row r="32" spans="1:5" x14ac:dyDescent="0.25">
      <c r="A32" t="s">
        <v>74</v>
      </c>
      <c r="B32" t="s">
        <v>43</v>
      </c>
      <c r="C32" t="s">
        <v>48</v>
      </c>
      <c r="D32" s="1">
        <v>31</v>
      </c>
      <c r="E32" s="8">
        <f>SUMIFS(hmov[CANTIDAD],hmov[IDPRODUCTO],prod[[#This Row],[IDPROD]],hmov[INOUT],1)-SUMIFS(hmov[CANTIDAD],hmov[IDPRODUCTO],prod[[#This Row],[IDPROD]],hmov[INOUT],0)</f>
        <v>0</v>
      </c>
    </row>
    <row r="33" spans="1:5" x14ac:dyDescent="0.25">
      <c r="A33" t="s">
        <v>75</v>
      </c>
      <c r="B33" t="s">
        <v>35</v>
      </c>
      <c r="C33" t="s">
        <v>48</v>
      </c>
      <c r="D33" s="1">
        <v>32</v>
      </c>
      <c r="E33" s="8">
        <f>SUMIFS(hmov[CANTIDAD],hmov[IDPRODUCTO],prod[[#This Row],[IDPROD]],hmov[INOUT],1)-SUMIFS(hmov[CANTIDAD],hmov[IDPRODUCTO],prod[[#This Row],[IDPROD]],hmov[INOUT],0)</f>
        <v>0</v>
      </c>
    </row>
    <row r="34" spans="1:5" x14ac:dyDescent="0.25">
      <c r="A34" t="s">
        <v>76</v>
      </c>
      <c r="B34" t="s">
        <v>35</v>
      </c>
      <c r="C34" t="s">
        <v>48</v>
      </c>
      <c r="D34" s="1">
        <v>33</v>
      </c>
      <c r="E34" s="8">
        <f>SUMIFS(hmov[CANTIDAD],hmov[IDPRODUCTO],prod[[#This Row],[IDPROD]],hmov[INOUT],1)-SUMIFS(hmov[CANTIDAD],hmov[IDPRODUCTO],prod[[#This Row],[IDPROD]],hmov[INOUT],0)</f>
        <v>0</v>
      </c>
    </row>
    <row r="35" spans="1:5" x14ac:dyDescent="0.25">
      <c r="A35" t="s">
        <v>77</v>
      </c>
      <c r="B35" t="s">
        <v>35</v>
      </c>
      <c r="C35" t="s">
        <v>48</v>
      </c>
      <c r="D35" s="1">
        <v>34</v>
      </c>
      <c r="E35" s="8">
        <f>SUMIFS(hmov[CANTIDAD],hmov[IDPRODUCTO],prod[[#This Row],[IDPROD]],hmov[INOUT],1)-SUMIFS(hmov[CANTIDAD],hmov[IDPRODUCTO],prod[[#This Row],[IDPROD]],hmov[INOUT],0)</f>
        <v>0</v>
      </c>
    </row>
    <row r="36" spans="1:5" x14ac:dyDescent="0.25">
      <c r="A36" t="s">
        <v>78</v>
      </c>
      <c r="B36" t="s">
        <v>62</v>
      </c>
      <c r="C36" t="s">
        <v>79</v>
      </c>
      <c r="D36" s="1">
        <v>35</v>
      </c>
      <c r="E36" s="8">
        <f>SUMIFS(hmov[CANTIDAD],hmov[IDPRODUCTO],prod[[#This Row],[IDPROD]],hmov[INOUT],1)-SUMIFS(hmov[CANTIDAD],hmov[IDPRODUCTO],prod[[#This Row],[IDPROD]],hmov[INOUT],0)</f>
        <v>0</v>
      </c>
    </row>
    <row r="37" spans="1:5" x14ac:dyDescent="0.25">
      <c r="A37" t="s">
        <v>80</v>
      </c>
      <c r="B37" t="s">
        <v>62</v>
      </c>
      <c r="C37" t="s">
        <v>79</v>
      </c>
      <c r="D37" s="1">
        <v>36</v>
      </c>
      <c r="E37" s="8">
        <f>SUMIFS(hmov[CANTIDAD],hmov[IDPRODUCTO],prod[[#This Row],[IDPROD]],hmov[INOUT],1)-SUMIFS(hmov[CANTIDAD],hmov[IDPRODUCTO],prod[[#This Row],[IDPROD]],hmov[INOUT],0)</f>
        <v>0</v>
      </c>
    </row>
    <row r="38" spans="1:5" x14ac:dyDescent="0.25">
      <c r="A38" t="s">
        <v>81</v>
      </c>
      <c r="B38" t="s">
        <v>62</v>
      </c>
      <c r="C38" t="s">
        <v>79</v>
      </c>
      <c r="D38" s="1">
        <v>37</v>
      </c>
      <c r="E38" s="8">
        <f>SUMIFS(hmov[CANTIDAD],hmov[IDPRODUCTO],prod[[#This Row],[IDPROD]],hmov[INOUT],1)-SUMIFS(hmov[CANTIDAD],hmov[IDPRODUCTO],prod[[#This Row],[IDPROD]],hmov[INOUT],0)</f>
        <v>0</v>
      </c>
    </row>
    <row r="39" spans="1:5" x14ac:dyDescent="0.25">
      <c r="A39" t="s">
        <v>82</v>
      </c>
      <c r="B39" t="s">
        <v>62</v>
      </c>
      <c r="C39" t="s">
        <v>79</v>
      </c>
      <c r="D39" s="1">
        <v>38</v>
      </c>
      <c r="E39" s="8">
        <f>SUMIFS(hmov[CANTIDAD],hmov[IDPRODUCTO],prod[[#This Row],[IDPROD]],hmov[INOUT],1)-SUMIFS(hmov[CANTIDAD],hmov[IDPRODUCTO],prod[[#This Row],[IDPROD]],hmov[INOUT],0)</f>
        <v>0</v>
      </c>
    </row>
    <row r="40" spans="1:5" x14ac:dyDescent="0.25">
      <c r="A40" t="s">
        <v>83</v>
      </c>
      <c r="B40" t="s">
        <v>62</v>
      </c>
      <c r="C40" t="s">
        <v>79</v>
      </c>
      <c r="D40" s="1">
        <v>39</v>
      </c>
      <c r="E40" s="8">
        <f>SUMIFS(hmov[CANTIDAD],hmov[IDPRODUCTO],prod[[#This Row],[IDPROD]],hmov[INOUT],1)-SUMIFS(hmov[CANTIDAD],hmov[IDPRODUCTO],prod[[#This Row],[IDPROD]],hmov[INOUT],0)</f>
        <v>0</v>
      </c>
    </row>
    <row r="41" spans="1:5" x14ac:dyDescent="0.25">
      <c r="A41" t="s">
        <v>84</v>
      </c>
      <c r="B41" t="s">
        <v>62</v>
      </c>
      <c r="C41" t="s">
        <v>79</v>
      </c>
      <c r="D41" s="1">
        <v>40</v>
      </c>
      <c r="E41" s="8">
        <f>SUMIFS(hmov[CANTIDAD],hmov[IDPRODUCTO],prod[[#This Row],[IDPROD]],hmov[INOUT],1)-SUMIFS(hmov[CANTIDAD],hmov[IDPRODUCTO],prod[[#This Row],[IDPROD]],hmov[INOUT],0)</f>
        <v>0</v>
      </c>
    </row>
    <row r="42" spans="1:5" x14ac:dyDescent="0.25">
      <c r="A42" t="s">
        <v>85</v>
      </c>
      <c r="B42" t="s">
        <v>62</v>
      </c>
      <c r="C42" t="s">
        <v>79</v>
      </c>
      <c r="D42" s="1">
        <v>41</v>
      </c>
      <c r="E42" s="8">
        <f>SUMIFS(hmov[CANTIDAD],hmov[IDPRODUCTO],prod[[#This Row],[IDPROD]],hmov[INOUT],1)-SUMIFS(hmov[CANTIDAD],hmov[IDPRODUCTO],prod[[#This Row],[IDPROD]],hmov[INOUT],0)</f>
        <v>0</v>
      </c>
    </row>
    <row r="43" spans="1:5" x14ac:dyDescent="0.25">
      <c r="A43" t="s">
        <v>86</v>
      </c>
      <c r="B43" t="s">
        <v>62</v>
      </c>
      <c r="C43" t="s">
        <v>79</v>
      </c>
      <c r="D43" s="1">
        <v>42</v>
      </c>
      <c r="E43" s="8">
        <f>SUMIFS(hmov[CANTIDAD],hmov[IDPRODUCTO],prod[[#This Row],[IDPROD]],hmov[INOUT],1)-SUMIFS(hmov[CANTIDAD],hmov[IDPRODUCTO],prod[[#This Row],[IDPROD]],hmov[INOUT],0)</f>
        <v>0</v>
      </c>
    </row>
    <row r="44" spans="1:5" x14ac:dyDescent="0.25">
      <c r="A44" t="s">
        <v>87</v>
      </c>
      <c r="B44" t="s">
        <v>62</v>
      </c>
      <c r="C44" t="s">
        <v>79</v>
      </c>
      <c r="D44" s="1">
        <v>43</v>
      </c>
      <c r="E44" s="8">
        <f>SUMIFS(hmov[CANTIDAD],hmov[IDPRODUCTO],prod[[#This Row],[IDPROD]],hmov[INOUT],1)-SUMIFS(hmov[CANTIDAD],hmov[IDPRODUCTO],prod[[#This Row],[IDPROD]],hmov[INOUT],0)</f>
        <v>0</v>
      </c>
    </row>
    <row r="45" spans="1:5" x14ac:dyDescent="0.25">
      <c r="A45" t="s">
        <v>88</v>
      </c>
      <c r="B45" t="s">
        <v>62</v>
      </c>
      <c r="C45" t="s">
        <v>79</v>
      </c>
      <c r="D45" s="1">
        <v>44</v>
      </c>
      <c r="E45" s="8">
        <f>SUMIFS(hmov[CANTIDAD],hmov[IDPRODUCTO],prod[[#This Row],[IDPROD]],hmov[INOUT],1)-SUMIFS(hmov[CANTIDAD],hmov[IDPRODUCTO],prod[[#This Row],[IDPROD]],hmov[INOUT],0)</f>
        <v>0</v>
      </c>
    </row>
    <row r="46" spans="1:5" x14ac:dyDescent="0.25">
      <c r="A46" t="s">
        <v>89</v>
      </c>
      <c r="B46" t="s">
        <v>62</v>
      </c>
      <c r="C46" t="s">
        <v>79</v>
      </c>
      <c r="D46" s="1">
        <v>45</v>
      </c>
      <c r="E46" s="8">
        <f>SUMIFS(hmov[CANTIDAD],hmov[IDPRODUCTO],prod[[#This Row],[IDPROD]],hmov[INOUT],1)-SUMIFS(hmov[CANTIDAD],hmov[IDPRODUCTO],prod[[#This Row],[IDPROD]],hmov[INOUT],0)</f>
        <v>0</v>
      </c>
    </row>
    <row r="47" spans="1:5" x14ac:dyDescent="0.25">
      <c r="A47" t="s">
        <v>90</v>
      </c>
      <c r="B47" t="s">
        <v>62</v>
      </c>
      <c r="C47" t="s">
        <v>79</v>
      </c>
      <c r="D47" s="1">
        <v>46</v>
      </c>
      <c r="E47" s="8">
        <f>SUMIFS(hmov[CANTIDAD],hmov[IDPRODUCTO],prod[[#This Row],[IDPROD]],hmov[INOUT],1)-SUMIFS(hmov[CANTIDAD],hmov[IDPRODUCTO],prod[[#This Row],[IDPROD]],hmov[INOUT],0)</f>
        <v>0</v>
      </c>
    </row>
    <row r="48" spans="1:5" x14ac:dyDescent="0.25">
      <c r="A48" t="s">
        <v>91</v>
      </c>
      <c r="B48" t="s">
        <v>62</v>
      </c>
      <c r="C48" t="s">
        <v>79</v>
      </c>
      <c r="D48" s="1">
        <v>47</v>
      </c>
      <c r="E48" s="8">
        <f>SUMIFS(hmov[CANTIDAD],hmov[IDPRODUCTO],prod[[#This Row],[IDPROD]],hmov[INOUT],1)-SUMIFS(hmov[CANTIDAD],hmov[IDPRODUCTO],prod[[#This Row],[IDPROD]],hmov[INOUT],0)</f>
        <v>0</v>
      </c>
    </row>
    <row r="49" spans="1:5" x14ac:dyDescent="0.25">
      <c r="A49" t="s">
        <v>92</v>
      </c>
      <c r="B49" t="s">
        <v>62</v>
      </c>
      <c r="C49" t="s">
        <v>79</v>
      </c>
      <c r="D49" s="1">
        <v>48</v>
      </c>
      <c r="E49" s="8">
        <f>SUMIFS(hmov[CANTIDAD],hmov[IDPRODUCTO],prod[[#This Row],[IDPROD]],hmov[INOUT],1)-SUMIFS(hmov[CANTIDAD],hmov[IDPRODUCTO],prod[[#This Row],[IDPROD]],hmov[INOUT],0)</f>
        <v>0</v>
      </c>
    </row>
    <row r="50" spans="1:5" x14ac:dyDescent="0.25">
      <c r="A50" t="s">
        <v>93</v>
      </c>
      <c r="B50" t="s">
        <v>62</v>
      </c>
      <c r="C50" t="s">
        <v>79</v>
      </c>
      <c r="D50" s="1">
        <v>49</v>
      </c>
      <c r="E50" s="8">
        <f>SUMIFS(hmov[CANTIDAD],hmov[IDPRODUCTO],prod[[#This Row],[IDPROD]],hmov[INOUT],1)-SUMIFS(hmov[CANTIDAD],hmov[IDPRODUCTO],prod[[#This Row],[IDPROD]],hmov[INOUT],0)</f>
        <v>0</v>
      </c>
    </row>
    <row r="51" spans="1:5" x14ac:dyDescent="0.25">
      <c r="A51" t="s">
        <v>94</v>
      </c>
      <c r="B51" t="s">
        <v>62</v>
      </c>
      <c r="C51" t="s">
        <v>79</v>
      </c>
      <c r="D51" s="1">
        <v>50</v>
      </c>
      <c r="E51" s="8">
        <f>SUMIFS(hmov[CANTIDAD],hmov[IDPRODUCTO],prod[[#This Row],[IDPROD]],hmov[INOUT],1)-SUMIFS(hmov[CANTIDAD],hmov[IDPRODUCTO],prod[[#This Row],[IDPROD]],hmov[INOUT],0)</f>
        <v>0</v>
      </c>
    </row>
    <row r="52" spans="1:5" x14ac:dyDescent="0.25">
      <c r="A52" t="s">
        <v>95</v>
      </c>
      <c r="B52" t="s">
        <v>62</v>
      </c>
      <c r="C52" t="s">
        <v>79</v>
      </c>
      <c r="D52" s="1">
        <v>51</v>
      </c>
      <c r="E52" s="8">
        <f>SUMIFS(hmov[CANTIDAD],hmov[IDPRODUCTO],prod[[#This Row],[IDPROD]],hmov[INOUT],1)-SUMIFS(hmov[CANTIDAD],hmov[IDPRODUCTO],prod[[#This Row],[IDPROD]],hmov[INOUT],0)</f>
        <v>0</v>
      </c>
    </row>
    <row r="53" spans="1:5" x14ac:dyDescent="0.25">
      <c r="A53" t="s">
        <v>96</v>
      </c>
      <c r="B53" t="s">
        <v>62</v>
      </c>
      <c r="C53" t="s">
        <v>79</v>
      </c>
      <c r="D53" s="1">
        <v>52</v>
      </c>
      <c r="E53" s="8">
        <f>SUMIFS(hmov[CANTIDAD],hmov[IDPRODUCTO],prod[[#This Row],[IDPROD]],hmov[INOUT],1)-SUMIFS(hmov[CANTIDAD],hmov[IDPRODUCTO],prod[[#This Row],[IDPROD]],hmov[INOUT],0)</f>
        <v>0</v>
      </c>
    </row>
    <row r="54" spans="1:5" x14ac:dyDescent="0.25">
      <c r="A54" t="s">
        <v>97</v>
      </c>
      <c r="B54" t="s">
        <v>62</v>
      </c>
      <c r="C54" t="s">
        <v>79</v>
      </c>
      <c r="D54" s="1">
        <v>53</v>
      </c>
      <c r="E54" s="8">
        <f>SUMIFS(hmov[CANTIDAD],hmov[IDPRODUCTO],prod[[#This Row],[IDPROD]],hmov[INOUT],1)-SUMIFS(hmov[CANTIDAD],hmov[IDPRODUCTO],prod[[#This Row],[IDPROD]],hmov[INOUT],0)</f>
        <v>0</v>
      </c>
    </row>
    <row r="55" spans="1:5" x14ac:dyDescent="0.25">
      <c r="A55" t="s">
        <v>98</v>
      </c>
      <c r="B55" t="s">
        <v>62</v>
      </c>
      <c r="C55" t="s">
        <v>79</v>
      </c>
      <c r="D55" s="1">
        <v>54</v>
      </c>
      <c r="E55" s="8">
        <f>SUMIFS(hmov[CANTIDAD],hmov[IDPRODUCTO],prod[[#This Row],[IDPROD]],hmov[INOUT],1)-SUMIFS(hmov[CANTIDAD],hmov[IDPRODUCTO],prod[[#This Row],[IDPROD]],hmov[INOUT],0)</f>
        <v>0</v>
      </c>
    </row>
    <row r="56" spans="1:5" x14ac:dyDescent="0.25">
      <c r="A56" t="s">
        <v>99</v>
      </c>
      <c r="B56" t="s">
        <v>62</v>
      </c>
      <c r="C56" t="s">
        <v>79</v>
      </c>
      <c r="D56" s="1">
        <v>55</v>
      </c>
      <c r="E56" s="8">
        <f>SUMIFS(hmov[CANTIDAD],hmov[IDPRODUCTO],prod[[#This Row],[IDPROD]],hmov[INOUT],1)-SUMIFS(hmov[CANTIDAD],hmov[IDPRODUCTO],prod[[#This Row],[IDPROD]],hmov[INOUT],0)</f>
        <v>0</v>
      </c>
    </row>
    <row r="57" spans="1:5" x14ac:dyDescent="0.25">
      <c r="A57" t="s">
        <v>100</v>
      </c>
      <c r="B57" t="s">
        <v>62</v>
      </c>
      <c r="C57" t="s">
        <v>79</v>
      </c>
      <c r="D57" s="1">
        <v>56</v>
      </c>
      <c r="E57" s="8">
        <f>SUMIFS(hmov[CANTIDAD],hmov[IDPRODUCTO],prod[[#This Row],[IDPROD]],hmov[INOUT],1)-SUMIFS(hmov[CANTIDAD],hmov[IDPRODUCTO],prod[[#This Row],[IDPROD]],hmov[INOUT],0)</f>
        <v>0</v>
      </c>
    </row>
    <row r="58" spans="1:5" x14ac:dyDescent="0.25">
      <c r="A58" t="s">
        <v>101</v>
      </c>
      <c r="B58" t="s">
        <v>62</v>
      </c>
      <c r="C58" t="s">
        <v>79</v>
      </c>
      <c r="D58" s="1">
        <v>57</v>
      </c>
      <c r="E58" s="8">
        <f>SUMIFS(hmov[CANTIDAD],hmov[IDPRODUCTO],prod[[#This Row],[IDPROD]],hmov[INOUT],1)-SUMIFS(hmov[CANTIDAD],hmov[IDPRODUCTO],prod[[#This Row],[IDPROD]],hmov[INOUT],0)</f>
        <v>0</v>
      </c>
    </row>
    <row r="59" spans="1:5" x14ac:dyDescent="0.25">
      <c r="A59" t="s">
        <v>102</v>
      </c>
      <c r="B59" t="s">
        <v>46</v>
      </c>
      <c r="C59" t="s">
        <v>44</v>
      </c>
      <c r="D59" s="1">
        <v>58</v>
      </c>
      <c r="E59" s="8">
        <f>SUMIFS(hmov[CANTIDAD],hmov[IDPRODUCTO],prod[[#This Row],[IDPROD]],hmov[INOUT],1)-SUMIFS(hmov[CANTIDAD],hmov[IDPRODUCTO],prod[[#This Row],[IDPROD]],hmov[INOUT],0)</f>
        <v>0</v>
      </c>
    </row>
    <row r="60" spans="1:5" x14ac:dyDescent="0.25">
      <c r="A60" t="s">
        <v>103</v>
      </c>
      <c r="B60" t="s">
        <v>62</v>
      </c>
      <c r="C60" t="s">
        <v>104</v>
      </c>
      <c r="D60" s="1">
        <v>59</v>
      </c>
      <c r="E60" s="8">
        <f>SUMIFS(hmov[CANTIDAD],hmov[IDPRODUCTO],prod[[#This Row],[IDPROD]],hmov[INOUT],1)-SUMIFS(hmov[CANTIDAD],hmov[IDPRODUCTO],prod[[#This Row],[IDPROD]],hmov[INOUT],0)</f>
        <v>0</v>
      </c>
    </row>
    <row r="61" spans="1:5" x14ac:dyDescent="0.25">
      <c r="A61" t="s">
        <v>105</v>
      </c>
      <c r="B61" t="s">
        <v>62</v>
      </c>
      <c r="C61" t="s">
        <v>104</v>
      </c>
      <c r="D61" s="1">
        <v>60</v>
      </c>
      <c r="E61" s="8">
        <f>SUMIFS(hmov[CANTIDAD],hmov[IDPRODUCTO],prod[[#This Row],[IDPROD]],hmov[INOUT],1)-SUMIFS(hmov[CANTIDAD],hmov[IDPRODUCTO],prod[[#This Row],[IDPROD]],hmov[INOUT],0)</f>
        <v>0</v>
      </c>
    </row>
    <row r="62" spans="1:5" x14ac:dyDescent="0.25">
      <c r="A62" t="s">
        <v>106</v>
      </c>
      <c r="B62" t="s">
        <v>62</v>
      </c>
      <c r="C62" t="s">
        <v>104</v>
      </c>
      <c r="D62" s="1">
        <v>61</v>
      </c>
      <c r="E62" s="8">
        <f>SUMIFS(hmov[CANTIDAD],hmov[IDPRODUCTO],prod[[#This Row],[IDPROD]],hmov[INOUT],1)-SUMIFS(hmov[CANTIDAD],hmov[IDPRODUCTO],prod[[#This Row],[IDPROD]],hmov[INOUT],0)</f>
        <v>0</v>
      </c>
    </row>
    <row r="63" spans="1:5" x14ac:dyDescent="0.25">
      <c r="A63" t="s">
        <v>107</v>
      </c>
      <c r="B63" t="s">
        <v>62</v>
      </c>
      <c r="C63" t="s">
        <v>104</v>
      </c>
      <c r="D63" s="1">
        <v>62</v>
      </c>
      <c r="E63" s="8">
        <f>SUMIFS(hmov[CANTIDAD],hmov[IDPRODUCTO],prod[[#This Row],[IDPROD]],hmov[INOUT],1)-SUMIFS(hmov[CANTIDAD],hmov[IDPRODUCTO],prod[[#This Row],[IDPROD]],hmov[INOUT],0)</f>
        <v>0</v>
      </c>
    </row>
    <row r="64" spans="1:5" x14ac:dyDescent="0.25">
      <c r="A64" t="s">
        <v>108</v>
      </c>
      <c r="B64" t="s">
        <v>62</v>
      </c>
      <c r="C64" t="s">
        <v>104</v>
      </c>
      <c r="D64" s="1">
        <v>63</v>
      </c>
      <c r="E64" s="8">
        <f>SUMIFS(hmov[CANTIDAD],hmov[IDPRODUCTO],prod[[#This Row],[IDPROD]],hmov[INOUT],1)-SUMIFS(hmov[CANTIDAD],hmov[IDPRODUCTO],prod[[#This Row],[IDPROD]],hmov[INOUT],0)</f>
        <v>0</v>
      </c>
    </row>
    <row r="65" spans="1:5" x14ac:dyDescent="0.25">
      <c r="A65" t="s">
        <v>109</v>
      </c>
      <c r="B65" t="s">
        <v>62</v>
      </c>
      <c r="C65" t="s">
        <v>104</v>
      </c>
      <c r="D65" s="1">
        <v>64</v>
      </c>
      <c r="E65" s="8">
        <f>SUMIFS(hmov[CANTIDAD],hmov[IDPRODUCTO],prod[[#This Row],[IDPROD]],hmov[INOUT],1)-SUMIFS(hmov[CANTIDAD],hmov[IDPRODUCTO],prod[[#This Row],[IDPROD]],hmov[INOUT],0)</f>
        <v>0</v>
      </c>
    </row>
    <row r="66" spans="1:5" x14ac:dyDescent="0.25">
      <c r="A66" t="s">
        <v>110</v>
      </c>
      <c r="B66" t="s">
        <v>62</v>
      </c>
      <c r="C66" t="s">
        <v>104</v>
      </c>
      <c r="D66" s="1">
        <v>65</v>
      </c>
      <c r="E66" s="8">
        <f>SUMIFS(hmov[CANTIDAD],hmov[IDPRODUCTO],prod[[#This Row],[IDPROD]],hmov[INOUT],1)-SUMIFS(hmov[CANTIDAD],hmov[IDPRODUCTO],prod[[#This Row],[IDPROD]],hmov[INOUT],0)</f>
        <v>0</v>
      </c>
    </row>
    <row r="67" spans="1:5" x14ac:dyDescent="0.25">
      <c r="A67" t="s">
        <v>111</v>
      </c>
      <c r="B67" t="s">
        <v>62</v>
      </c>
      <c r="C67" t="s">
        <v>104</v>
      </c>
      <c r="D67" s="1">
        <v>66</v>
      </c>
      <c r="E67" s="8">
        <f>SUMIFS(hmov[CANTIDAD],hmov[IDPRODUCTO],prod[[#This Row],[IDPROD]],hmov[INOUT],1)-SUMIFS(hmov[CANTIDAD],hmov[IDPRODUCTO],prod[[#This Row],[IDPROD]],hmov[INOUT],0)</f>
        <v>0</v>
      </c>
    </row>
    <row r="68" spans="1:5" x14ac:dyDescent="0.25">
      <c r="A68" t="s">
        <v>85</v>
      </c>
      <c r="B68" t="s">
        <v>62</v>
      </c>
      <c r="C68" t="s">
        <v>112</v>
      </c>
      <c r="D68" s="1">
        <v>67</v>
      </c>
      <c r="E68" s="8">
        <f>SUMIFS(hmov[CANTIDAD],hmov[IDPRODUCTO],prod[[#This Row],[IDPROD]],hmov[INOUT],1)-SUMIFS(hmov[CANTIDAD],hmov[IDPRODUCTO],prod[[#This Row],[IDPROD]],hmov[INOUT],0)</f>
        <v>0</v>
      </c>
    </row>
    <row r="69" spans="1:5" x14ac:dyDescent="0.25">
      <c r="A69" t="s">
        <v>90</v>
      </c>
      <c r="B69" t="s">
        <v>62</v>
      </c>
      <c r="C69" t="s">
        <v>112</v>
      </c>
      <c r="D69" s="1">
        <v>68</v>
      </c>
      <c r="E69" s="8">
        <f>SUMIFS(hmov[CANTIDAD],hmov[IDPRODUCTO],prod[[#This Row],[IDPROD]],hmov[INOUT],1)-SUMIFS(hmov[CANTIDAD],hmov[IDPRODUCTO],prod[[#This Row],[IDPROD]],hmov[INOUT],0)</f>
        <v>0</v>
      </c>
    </row>
    <row r="70" spans="1:5" x14ac:dyDescent="0.25">
      <c r="A70" t="s">
        <v>113</v>
      </c>
      <c r="B70" t="s">
        <v>62</v>
      </c>
      <c r="C70" t="s">
        <v>112</v>
      </c>
      <c r="D70" s="1">
        <v>69</v>
      </c>
      <c r="E70" s="8">
        <f>SUMIFS(hmov[CANTIDAD],hmov[IDPRODUCTO],prod[[#This Row],[IDPROD]],hmov[INOUT],1)-SUMIFS(hmov[CANTIDAD],hmov[IDPRODUCTO],prod[[#This Row],[IDPROD]],hmov[INOUT],0)</f>
        <v>0</v>
      </c>
    </row>
    <row r="71" spans="1:5" x14ac:dyDescent="0.25">
      <c r="A71" t="s">
        <v>83</v>
      </c>
      <c r="B71" t="s">
        <v>62</v>
      </c>
      <c r="C71" t="s">
        <v>112</v>
      </c>
      <c r="D71" s="1">
        <v>70</v>
      </c>
      <c r="E71" s="8">
        <f>SUMIFS(hmov[CANTIDAD],hmov[IDPRODUCTO],prod[[#This Row],[IDPROD]],hmov[INOUT],1)-SUMIFS(hmov[CANTIDAD],hmov[IDPRODUCTO],prod[[#This Row],[IDPROD]],hmov[INOUT],0)</f>
        <v>0</v>
      </c>
    </row>
    <row r="72" spans="1:5" x14ac:dyDescent="0.25">
      <c r="A72" t="s">
        <v>91</v>
      </c>
      <c r="B72" t="s">
        <v>62</v>
      </c>
      <c r="C72" t="s">
        <v>112</v>
      </c>
      <c r="D72" s="1">
        <v>71</v>
      </c>
      <c r="E72" s="8">
        <f>SUMIFS(hmov[CANTIDAD],hmov[IDPRODUCTO],prod[[#This Row],[IDPROD]],hmov[INOUT],1)-SUMIFS(hmov[CANTIDAD],hmov[IDPRODUCTO],prod[[#This Row],[IDPROD]],hmov[INOUT],0)</f>
        <v>0</v>
      </c>
    </row>
    <row r="73" spans="1:5" x14ac:dyDescent="0.25">
      <c r="A73" t="s">
        <v>92</v>
      </c>
      <c r="B73" t="s">
        <v>62</v>
      </c>
      <c r="C73" t="s">
        <v>112</v>
      </c>
      <c r="D73" s="1">
        <v>72</v>
      </c>
      <c r="E73" s="8">
        <f>SUMIFS(hmov[CANTIDAD],hmov[IDPRODUCTO],prod[[#This Row],[IDPROD]],hmov[INOUT],1)-SUMIFS(hmov[CANTIDAD],hmov[IDPRODUCTO],prod[[#This Row],[IDPROD]],hmov[INOUT],0)</f>
        <v>0</v>
      </c>
    </row>
    <row r="74" spans="1:5" x14ac:dyDescent="0.25">
      <c r="A74" t="s">
        <v>99</v>
      </c>
      <c r="B74" t="s">
        <v>62</v>
      </c>
      <c r="C74" t="s">
        <v>112</v>
      </c>
      <c r="D74" s="1">
        <v>73</v>
      </c>
      <c r="E74" s="8">
        <f>SUMIFS(hmov[CANTIDAD],hmov[IDPRODUCTO],prod[[#This Row],[IDPROD]],hmov[INOUT],1)-SUMIFS(hmov[CANTIDAD],hmov[IDPRODUCTO],prod[[#This Row],[IDPROD]],hmov[INOUT],0)</f>
        <v>0</v>
      </c>
    </row>
    <row r="75" spans="1:5" x14ac:dyDescent="0.25">
      <c r="A75" t="s">
        <v>114</v>
      </c>
      <c r="B75" t="s">
        <v>62</v>
      </c>
      <c r="C75" t="s">
        <v>112</v>
      </c>
      <c r="D75" s="1">
        <v>74</v>
      </c>
      <c r="E75" s="8">
        <f>SUMIFS(hmov[CANTIDAD],hmov[IDPRODUCTO],prod[[#This Row],[IDPROD]],hmov[INOUT],1)-SUMIFS(hmov[CANTIDAD],hmov[IDPRODUCTO],prod[[#This Row],[IDPROD]],hmov[INOUT],0)</f>
        <v>0</v>
      </c>
    </row>
    <row r="76" spans="1:5" x14ac:dyDescent="0.25">
      <c r="A76" t="s">
        <v>115</v>
      </c>
      <c r="B76" t="s">
        <v>62</v>
      </c>
      <c r="C76" t="s">
        <v>112</v>
      </c>
      <c r="D76" s="1">
        <v>75</v>
      </c>
      <c r="E76" s="8">
        <f>SUMIFS(hmov[CANTIDAD],hmov[IDPRODUCTO],prod[[#This Row],[IDPROD]],hmov[INOUT],1)-SUMIFS(hmov[CANTIDAD],hmov[IDPRODUCTO],prod[[#This Row],[IDPROD]],hmov[INOUT],0)</f>
        <v>0</v>
      </c>
    </row>
    <row r="77" spans="1:5" x14ac:dyDescent="0.25">
      <c r="A77" t="s">
        <v>116</v>
      </c>
      <c r="B77" t="s">
        <v>62</v>
      </c>
      <c r="C77" t="s">
        <v>112</v>
      </c>
      <c r="D77" s="1">
        <v>76</v>
      </c>
      <c r="E77" s="8">
        <f>SUMIFS(hmov[CANTIDAD],hmov[IDPRODUCTO],prod[[#This Row],[IDPROD]],hmov[INOUT],1)-SUMIFS(hmov[CANTIDAD],hmov[IDPRODUCTO],prod[[#This Row],[IDPROD]],hmov[INOUT],0)</f>
        <v>0</v>
      </c>
    </row>
    <row r="78" spans="1:5" x14ac:dyDescent="0.25">
      <c r="A78" t="s">
        <v>100</v>
      </c>
      <c r="B78" t="s">
        <v>62</v>
      </c>
      <c r="C78" t="s">
        <v>112</v>
      </c>
      <c r="D78" s="1">
        <v>77</v>
      </c>
      <c r="E78" s="8">
        <f>SUMIFS(hmov[CANTIDAD],hmov[IDPRODUCTO],prod[[#This Row],[IDPROD]],hmov[INOUT],1)-SUMIFS(hmov[CANTIDAD],hmov[IDPRODUCTO],prod[[#This Row],[IDPROD]],hmov[INOUT],0)</f>
        <v>0</v>
      </c>
    </row>
    <row r="79" spans="1:5" x14ac:dyDescent="0.25">
      <c r="A79" t="s">
        <v>78</v>
      </c>
      <c r="B79" t="s">
        <v>62</v>
      </c>
      <c r="C79" t="s">
        <v>112</v>
      </c>
      <c r="D79" s="1">
        <v>78</v>
      </c>
      <c r="E79" s="8">
        <f>SUMIFS(hmov[CANTIDAD],hmov[IDPRODUCTO],prod[[#This Row],[IDPROD]],hmov[INOUT],1)-SUMIFS(hmov[CANTIDAD],hmov[IDPRODUCTO],prod[[#This Row],[IDPROD]],hmov[INOUT],0)</f>
        <v>0</v>
      </c>
    </row>
    <row r="80" spans="1:5" x14ac:dyDescent="0.25">
      <c r="A80" t="s">
        <v>117</v>
      </c>
      <c r="B80" t="s">
        <v>62</v>
      </c>
      <c r="C80" t="s">
        <v>112</v>
      </c>
      <c r="D80" s="1">
        <v>79</v>
      </c>
      <c r="E80" s="8">
        <f>SUMIFS(hmov[CANTIDAD],hmov[IDPRODUCTO],prod[[#This Row],[IDPROD]],hmov[INOUT],1)-SUMIFS(hmov[CANTIDAD],hmov[IDPRODUCTO],prod[[#This Row],[IDPROD]],hmov[INOUT],0)</f>
        <v>0</v>
      </c>
    </row>
    <row r="81" spans="1:5" x14ac:dyDescent="0.25">
      <c r="A81" t="s">
        <v>93</v>
      </c>
      <c r="B81" t="s">
        <v>62</v>
      </c>
      <c r="C81" t="s">
        <v>112</v>
      </c>
      <c r="D81" s="1">
        <v>80</v>
      </c>
      <c r="E81" s="8">
        <f>SUMIFS(hmov[CANTIDAD],hmov[IDPRODUCTO],prod[[#This Row],[IDPROD]],hmov[INOUT],1)-SUMIFS(hmov[CANTIDAD],hmov[IDPRODUCTO],prod[[#This Row],[IDPROD]],hmov[INOUT],0)</f>
        <v>0</v>
      </c>
    </row>
    <row r="82" spans="1:5" x14ac:dyDescent="0.25">
      <c r="A82" t="s">
        <v>94</v>
      </c>
      <c r="B82" t="s">
        <v>62</v>
      </c>
      <c r="C82" t="s">
        <v>112</v>
      </c>
      <c r="D82" s="1">
        <v>81</v>
      </c>
      <c r="E82" s="8">
        <f>SUMIFS(hmov[CANTIDAD],hmov[IDPRODUCTO],prod[[#This Row],[IDPROD]],hmov[INOUT],1)-SUMIFS(hmov[CANTIDAD],hmov[IDPRODUCTO],prod[[#This Row],[IDPROD]],hmov[INOUT],0)</f>
        <v>0</v>
      </c>
    </row>
    <row r="83" spans="1:5" x14ac:dyDescent="0.25">
      <c r="A83" t="s">
        <v>118</v>
      </c>
      <c r="B83" t="s">
        <v>62</v>
      </c>
      <c r="C83" t="s">
        <v>112</v>
      </c>
      <c r="D83" s="1">
        <v>82</v>
      </c>
      <c r="E83" s="8">
        <f>SUMIFS(hmov[CANTIDAD],hmov[IDPRODUCTO],prod[[#This Row],[IDPROD]],hmov[INOUT],1)-SUMIFS(hmov[CANTIDAD],hmov[IDPRODUCTO],prod[[#This Row],[IDPROD]],hmov[INOUT],0)</f>
        <v>0</v>
      </c>
    </row>
    <row r="84" spans="1:5" x14ac:dyDescent="0.25">
      <c r="A84" t="s">
        <v>80</v>
      </c>
      <c r="B84" t="s">
        <v>62</v>
      </c>
      <c r="C84" t="s">
        <v>112</v>
      </c>
      <c r="D84" s="1">
        <v>83</v>
      </c>
      <c r="E84" s="8">
        <f>SUMIFS(hmov[CANTIDAD],hmov[IDPRODUCTO],prod[[#This Row],[IDPROD]],hmov[INOUT],1)-SUMIFS(hmov[CANTIDAD],hmov[IDPRODUCTO],prod[[#This Row],[IDPROD]],hmov[INOUT],0)</f>
        <v>0</v>
      </c>
    </row>
    <row r="85" spans="1:5" x14ac:dyDescent="0.25">
      <c r="A85" t="s">
        <v>119</v>
      </c>
      <c r="B85" t="s">
        <v>62</v>
      </c>
      <c r="C85" t="s">
        <v>112</v>
      </c>
      <c r="D85" s="1">
        <v>84</v>
      </c>
      <c r="E85" s="8">
        <f>SUMIFS(hmov[CANTIDAD],hmov[IDPRODUCTO],prod[[#This Row],[IDPROD]],hmov[INOUT],1)-SUMIFS(hmov[CANTIDAD],hmov[IDPRODUCTO],prod[[#This Row],[IDPROD]],hmov[INOUT],0)</f>
        <v>0</v>
      </c>
    </row>
    <row r="86" spans="1:5" x14ac:dyDescent="0.25">
      <c r="A86" t="s">
        <v>120</v>
      </c>
      <c r="B86" t="s">
        <v>62</v>
      </c>
      <c r="C86" t="s">
        <v>112</v>
      </c>
      <c r="D86" s="1">
        <v>85</v>
      </c>
      <c r="E86" s="8">
        <f>SUMIFS(hmov[CANTIDAD],hmov[IDPRODUCTO],prod[[#This Row],[IDPROD]],hmov[INOUT],1)-SUMIFS(hmov[CANTIDAD],hmov[IDPRODUCTO],prod[[#This Row],[IDPROD]],hmov[INOUT],0)</f>
        <v>0</v>
      </c>
    </row>
    <row r="87" spans="1:5" x14ac:dyDescent="0.25">
      <c r="A87" t="s">
        <v>88</v>
      </c>
      <c r="B87" t="s">
        <v>62</v>
      </c>
      <c r="C87" t="s">
        <v>112</v>
      </c>
      <c r="D87" s="1">
        <v>86</v>
      </c>
      <c r="E87" s="8">
        <f>SUMIFS(hmov[CANTIDAD],hmov[IDPRODUCTO],prod[[#This Row],[IDPROD]],hmov[INOUT],1)-SUMIFS(hmov[CANTIDAD],hmov[IDPRODUCTO],prod[[#This Row],[IDPROD]],hmov[INOUT],0)</f>
        <v>0</v>
      </c>
    </row>
    <row r="88" spans="1:5" x14ac:dyDescent="0.25">
      <c r="A88" t="s">
        <v>87</v>
      </c>
      <c r="B88" t="s">
        <v>62</v>
      </c>
      <c r="C88" t="s">
        <v>112</v>
      </c>
      <c r="D88" s="1">
        <v>87</v>
      </c>
      <c r="E88" s="8">
        <f>SUMIFS(hmov[CANTIDAD],hmov[IDPRODUCTO],prod[[#This Row],[IDPROD]],hmov[INOUT],1)-SUMIFS(hmov[CANTIDAD],hmov[IDPRODUCTO],prod[[#This Row],[IDPROD]],hmov[INOUT],0)</f>
        <v>0</v>
      </c>
    </row>
    <row r="89" spans="1:5" x14ac:dyDescent="0.25">
      <c r="A89" t="s">
        <v>121</v>
      </c>
      <c r="B89" t="s">
        <v>35</v>
      </c>
      <c r="C89" t="s">
        <v>36</v>
      </c>
      <c r="D89" s="1">
        <v>88</v>
      </c>
      <c r="E89" s="8">
        <f>SUMIFS(hmov[CANTIDAD],hmov[IDPRODUCTO],prod[[#This Row],[IDPROD]],hmov[INOUT],1)-SUMIFS(hmov[CANTIDAD],hmov[IDPRODUCTO],prod[[#This Row],[IDPROD]],hmov[INOUT],0)</f>
        <v>0</v>
      </c>
    </row>
    <row r="90" spans="1:5" x14ac:dyDescent="0.25">
      <c r="A90" t="s">
        <v>122</v>
      </c>
      <c r="B90" t="s">
        <v>35</v>
      </c>
      <c r="C90" t="s">
        <v>36</v>
      </c>
      <c r="D90" s="1">
        <v>89</v>
      </c>
      <c r="E90" s="8">
        <f>SUMIFS(hmov[CANTIDAD],hmov[IDPRODUCTO],prod[[#This Row],[IDPROD]],hmov[INOUT],1)-SUMIFS(hmov[CANTIDAD],hmov[IDPRODUCTO],prod[[#This Row],[IDPROD]],hmov[INOUT],0)</f>
        <v>0</v>
      </c>
    </row>
    <row r="91" spans="1:5" x14ac:dyDescent="0.25">
      <c r="A91" t="s">
        <v>123</v>
      </c>
      <c r="B91" t="s">
        <v>35</v>
      </c>
      <c r="C91" t="s">
        <v>36</v>
      </c>
      <c r="D91" s="1">
        <v>90</v>
      </c>
      <c r="E91" s="8">
        <f>SUMIFS(hmov[CANTIDAD],hmov[IDPRODUCTO],prod[[#This Row],[IDPROD]],hmov[INOUT],1)-SUMIFS(hmov[CANTIDAD],hmov[IDPRODUCTO],prod[[#This Row],[IDPROD]],hmov[INOUT],0)</f>
        <v>0</v>
      </c>
    </row>
    <row r="92" spans="1:5" x14ac:dyDescent="0.25">
      <c r="A92" t="s">
        <v>124</v>
      </c>
      <c r="B92" t="s">
        <v>43</v>
      </c>
      <c r="C92" t="s">
        <v>125</v>
      </c>
      <c r="D92" s="1">
        <v>91</v>
      </c>
      <c r="E92" s="8">
        <f>SUMIFS(hmov[CANTIDAD],hmov[IDPRODUCTO],prod[[#This Row],[IDPROD]],hmov[INOUT],1)-SUMIFS(hmov[CANTIDAD],hmov[IDPRODUCTO],prod[[#This Row],[IDPROD]],hmov[INOUT],0)</f>
        <v>0</v>
      </c>
    </row>
    <row r="93" spans="1:5" x14ac:dyDescent="0.25">
      <c r="A93" t="s">
        <v>126</v>
      </c>
      <c r="B93" t="s">
        <v>43</v>
      </c>
      <c r="C93" t="s">
        <v>125</v>
      </c>
      <c r="D93" s="1">
        <v>92</v>
      </c>
      <c r="E93" s="8">
        <f>SUMIFS(hmov[CANTIDAD],hmov[IDPRODUCTO],prod[[#This Row],[IDPROD]],hmov[INOUT],1)-SUMIFS(hmov[CANTIDAD],hmov[IDPRODUCTO],prod[[#This Row],[IDPROD]],hmov[INOUT],0)</f>
        <v>0</v>
      </c>
    </row>
    <row r="94" spans="1:5" x14ac:dyDescent="0.25">
      <c r="A94" t="s">
        <v>127</v>
      </c>
      <c r="B94" t="s">
        <v>43</v>
      </c>
      <c r="C94" t="s">
        <v>125</v>
      </c>
      <c r="D94" s="1">
        <v>93</v>
      </c>
      <c r="E94" s="8">
        <f>SUMIFS(hmov[CANTIDAD],hmov[IDPRODUCTO],prod[[#This Row],[IDPROD]],hmov[INOUT],1)-SUMIFS(hmov[CANTIDAD],hmov[IDPRODUCTO],prod[[#This Row],[IDPROD]],hmov[INOUT],0)</f>
        <v>0</v>
      </c>
    </row>
    <row r="95" spans="1:5" x14ac:dyDescent="0.25">
      <c r="A95" t="s">
        <v>128</v>
      </c>
      <c r="B95" t="s">
        <v>43</v>
      </c>
      <c r="C95" t="s">
        <v>125</v>
      </c>
      <c r="D95" s="1">
        <v>94</v>
      </c>
      <c r="E95" s="8">
        <f>SUMIFS(hmov[CANTIDAD],hmov[IDPRODUCTO],prod[[#This Row],[IDPROD]],hmov[INOUT],1)-SUMIFS(hmov[CANTIDAD],hmov[IDPRODUCTO],prod[[#This Row],[IDPROD]],hmov[INOUT],0)</f>
        <v>0</v>
      </c>
    </row>
    <row r="96" spans="1:5" x14ac:dyDescent="0.25">
      <c r="A96" t="s">
        <v>129</v>
      </c>
      <c r="B96" t="s">
        <v>130</v>
      </c>
      <c r="C96" t="s">
        <v>125</v>
      </c>
      <c r="D96" s="1">
        <v>95</v>
      </c>
      <c r="E96" s="8">
        <f>SUMIFS(hmov[CANTIDAD],hmov[IDPRODUCTO],prod[[#This Row],[IDPROD]],hmov[INOUT],1)-SUMIFS(hmov[CANTIDAD],hmov[IDPRODUCTO],prod[[#This Row],[IDPROD]],hmov[INOUT],0)</f>
        <v>0</v>
      </c>
    </row>
    <row r="97" spans="1:5" x14ac:dyDescent="0.25">
      <c r="A97" t="s">
        <v>131</v>
      </c>
      <c r="B97" t="s">
        <v>43</v>
      </c>
      <c r="C97" t="s">
        <v>125</v>
      </c>
      <c r="D97" s="1">
        <v>96</v>
      </c>
      <c r="E97" s="8">
        <f>SUMIFS(hmov[CANTIDAD],hmov[IDPRODUCTO],prod[[#This Row],[IDPROD]],hmov[INOUT],1)-SUMIFS(hmov[CANTIDAD],hmov[IDPRODUCTO],prod[[#This Row],[IDPROD]],hmov[INOUT],0)</f>
        <v>0</v>
      </c>
    </row>
    <row r="98" spans="1:5" x14ac:dyDescent="0.25">
      <c r="A98" t="s">
        <v>103</v>
      </c>
      <c r="B98" t="s">
        <v>43</v>
      </c>
      <c r="C98" t="s">
        <v>125</v>
      </c>
      <c r="D98" s="1">
        <v>97</v>
      </c>
      <c r="E98" s="8">
        <f>SUMIFS(hmov[CANTIDAD],hmov[IDPRODUCTO],prod[[#This Row],[IDPROD]],hmov[INOUT],1)-SUMIFS(hmov[CANTIDAD],hmov[IDPRODUCTO],prod[[#This Row],[IDPROD]],hmov[INOUT],0)</f>
        <v>0</v>
      </c>
    </row>
    <row r="99" spans="1:5" x14ac:dyDescent="0.25">
      <c r="A99" t="s">
        <v>132</v>
      </c>
      <c r="B99" t="s">
        <v>43</v>
      </c>
      <c r="C99" t="s">
        <v>125</v>
      </c>
      <c r="D99" s="1">
        <v>98</v>
      </c>
      <c r="E99" s="8">
        <f>SUMIFS(hmov[CANTIDAD],hmov[IDPRODUCTO],prod[[#This Row],[IDPROD]],hmov[INOUT],1)-SUMIFS(hmov[CANTIDAD],hmov[IDPRODUCTO],prod[[#This Row],[IDPROD]],hmov[INOUT],0)</f>
        <v>0</v>
      </c>
    </row>
    <row r="100" spans="1:5" x14ac:dyDescent="0.25">
      <c r="A100" t="s">
        <v>133</v>
      </c>
      <c r="B100" t="s">
        <v>43</v>
      </c>
      <c r="C100" t="s">
        <v>125</v>
      </c>
      <c r="D100" s="1">
        <v>99</v>
      </c>
      <c r="E100" s="8">
        <f>SUMIFS(hmov[CANTIDAD],hmov[IDPRODUCTO],prod[[#This Row],[IDPROD]],hmov[INOUT],1)-SUMIFS(hmov[CANTIDAD],hmov[IDPRODUCTO],prod[[#This Row],[IDPROD]],hmov[INOUT],0)</f>
        <v>0</v>
      </c>
    </row>
    <row r="101" spans="1:5" x14ac:dyDescent="0.25">
      <c r="A101" t="s">
        <v>134</v>
      </c>
      <c r="B101" t="s">
        <v>43</v>
      </c>
      <c r="C101" t="s">
        <v>125</v>
      </c>
      <c r="D101" s="1">
        <v>100</v>
      </c>
      <c r="E101" s="8">
        <f>SUMIFS(hmov[CANTIDAD],hmov[IDPRODUCTO],prod[[#This Row],[IDPROD]],hmov[INOUT],1)-SUMIFS(hmov[CANTIDAD],hmov[IDPRODUCTO],prod[[#This Row],[IDPROD]],hmov[INOUT],0)</f>
        <v>0</v>
      </c>
    </row>
    <row r="102" spans="1:5" x14ac:dyDescent="0.25">
      <c r="A102" t="s">
        <v>135</v>
      </c>
      <c r="B102" t="s">
        <v>43</v>
      </c>
      <c r="C102" t="s">
        <v>125</v>
      </c>
      <c r="D102" s="1">
        <v>101</v>
      </c>
      <c r="E102" s="8">
        <f>SUMIFS(hmov[CANTIDAD],hmov[IDPRODUCTO],prod[[#This Row],[IDPROD]],hmov[INOUT],1)-SUMIFS(hmov[CANTIDAD],hmov[IDPRODUCTO],prod[[#This Row],[IDPROD]],hmov[INOUT],0)</f>
        <v>0</v>
      </c>
    </row>
    <row r="103" spans="1:5" x14ac:dyDescent="0.25">
      <c r="A103" t="s">
        <v>136</v>
      </c>
      <c r="B103" t="s">
        <v>43</v>
      </c>
      <c r="C103" t="s">
        <v>125</v>
      </c>
      <c r="D103" s="1">
        <v>102</v>
      </c>
      <c r="E103" s="8">
        <f>SUMIFS(hmov[CANTIDAD],hmov[IDPRODUCTO],prod[[#This Row],[IDPROD]],hmov[INOUT],1)-SUMIFS(hmov[CANTIDAD],hmov[IDPRODUCTO],prod[[#This Row],[IDPROD]],hmov[INOUT],0)</f>
        <v>0</v>
      </c>
    </row>
    <row r="104" spans="1:5" x14ac:dyDescent="0.25">
      <c r="A104" t="s">
        <v>137</v>
      </c>
      <c r="B104" t="s">
        <v>43</v>
      </c>
      <c r="C104" t="s">
        <v>125</v>
      </c>
      <c r="D104" s="1">
        <v>103</v>
      </c>
      <c r="E104" s="8">
        <f>SUMIFS(hmov[CANTIDAD],hmov[IDPRODUCTO],prod[[#This Row],[IDPROD]],hmov[INOUT],1)-SUMIFS(hmov[CANTIDAD],hmov[IDPRODUCTO],prod[[#This Row],[IDPROD]],hmov[INOUT],0)</f>
        <v>0</v>
      </c>
    </row>
    <row r="105" spans="1:5" x14ac:dyDescent="0.25">
      <c r="A105" t="s">
        <v>138</v>
      </c>
      <c r="B105" t="s">
        <v>43</v>
      </c>
      <c r="C105" t="s">
        <v>125</v>
      </c>
      <c r="D105" s="1">
        <v>104</v>
      </c>
      <c r="E105" s="8">
        <f>SUMIFS(hmov[CANTIDAD],hmov[IDPRODUCTO],prod[[#This Row],[IDPROD]],hmov[INOUT],1)-SUMIFS(hmov[CANTIDAD],hmov[IDPRODUCTO],prod[[#This Row],[IDPROD]],hmov[INOUT],0)</f>
        <v>0</v>
      </c>
    </row>
    <row r="106" spans="1:5" x14ac:dyDescent="0.25">
      <c r="A106" t="s">
        <v>139</v>
      </c>
      <c r="B106" t="s">
        <v>43</v>
      </c>
      <c r="C106" t="s">
        <v>125</v>
      </c>
      <c r="D106" s="1">
        <v>105</v>
      </c>
      <c r="E106" s="8">
        <f>SUMIFS(hmov[CANTIDAD],hmov[IDPRODUCTO],prod[[#This Row],[IDPROD]],hmov[INOUT],1)-SUMIFS(hmov[CANTIDAD],hmov[IDPRODUCTO],prod[[#This Row],[IDPROD]],hmov[INOUT],0)</f>
        <v>0</v>
      </c>
    </row>
  </sheetData>
  <dataValidations count="1">
    <dataValidation type="list" allowBlank="1" showInputMessage="1" showErrorMessage="1" sqref="C2:C106" xr:uid="{F29B0EAA-4854-48DC-8608-23FF0F444CB7}">
      <formula1>"IMMULITE,FUJI,COMPUTO,PAPELERIA,QUIRURJICO,SYSMEX BH,SPINREACT,ACT 5 DIFF,MINDRAY BC3200,PIPETAS,ECLIPSE APEXBIO,NIHON KOHDEN,LIMPIEZA,MICROBIOLOGIA,GARRAFONES,SUPLEMENTOS,PRUEBAS RAPIDAS,JERINGAS,TUBOS,GETEIN 1100"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10"/>
  <sheetViews>
    <sheetView workbookViewId="0">
      <selection activeCell="B18" sqref="B18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6</v>
      </c>
      <c r="B1" t="s">
        <v>18</v>
      </c>
    </row>
    <row r="2" spans="1:2" x14ac:dyDescent="0.25">
      <c r="A2" t="s">
        <v>79</v>
      </c>
      <c r="B2" s="1">
        <v>1</v>
      </c>
    </row>
    <row r="3" spans="1:2" x14ac:dyDescent="0.25">
      <c r="A3" t="s">
        <v>140</v>
      </c>
      <c r="B3" s="1">
        <v>2</v>
      </c>
    </row>
    <row r="4" spans="1:2" x14ac:dyDescent="0.25">
      <c r="A4" t="s">
        <v>141</v>
      </c>
      <c r="B4" s="1">
        <v>3</v>
      </c>
    </row>
    <row r="5" spans="1:2" x14ac:dyDescent="0.25">
      <c r="A5" t="s">
        <v>142</v>
      </c>
      <c r="B5" s="1">
        <v>4</v>
      </c>
    </row>
    <row r="6" spans="1:2" x14ac:dyDescent="0.25">
      <c r="A6" t="s">
        <v>143</v>
      </c>
      <c r="B6" s="1">
        <v>5</v>
      </c>
    </row>
    <row r="7" spans="1:2" x14ac:dyDescent="0.25">
      <c r="A7" t="s">
        <v>144</v>
      </c>
      <c r="B7" s="1">
        <v>6</v>
      </c>
    </row>
    <row r="8" spans="1:2" x14ac:dyDescent="0.25">
      <c r="A8" t="s">
        <v>145</v>
      </c>
      <c r="B8" s="1">
        <v>7</v>
      </c>
    </row>
    <row r="9" spans="1:2" x14ac:dyDescent="0.25">
      <c r="A9" t="s">
        <v>146</v>
      </c>
      <c r="B9" s="1">
        <v>8</v>
      </c>
    </row>
    <row r="10" spans="1:2" x14ac:dyDescent="0.25">
      <c r="A10" t="s">
        <v>147</v>
      </c>
      <c r="B10" s="1">
        <v>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8"/>
  <sheetViews>
    <sheetView workbookViewId="0">
      <selection activeCell="A9" sqref="A9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5</v>
      </c>
      <c r="B1" t="s">
        <v>19</v>
      </c>
    </row>
    <row r="2" spans="1:2" x14ac:dyDescent="0.25">
      <c r="A2" t="s">
        <v>148</v>
      </c>
      <c r="B2" s="1">
        <v>1</v>
      </c>
    </row>
    <row r="3" spans="1:2" x14ac:dyDescent="0.25">
      <c r="A3" t="s">
        <v>149</v>
      </c>
      <c r="B3" s="1">
        <v>2</v>
      </c>
    </row>
    <row r="4" spans="1:2" x14ac:dyDescent="0.25">
      <c r="A4" t="s">
        <v>150</v>
      </c>
      <c r="B4" s="1">
        <v>3</v>
      </c>
    </row>
    <row r="5" spans="1:2" x14ac:dyDescent="0.25">
      <c r="A5" t="s">
        <v>151</v>
      </c>
      <c r="B5" s="1">
        <v>4</v>
      </c>
    </row>
    <row r="6" spans="1:2" x14ac:dyDescent="0.25">
      <c r="A6" t="s">
        <v>152</v>
      </c>
      <c r="B6" s="1">
        <v>5</v>
      </c>
    </row>
    <row r="7" spans="1:2" x14ac:dyDescent="0.25">
      <c r="A7" t="s">
        <v>153</v>
      </c>
      <c r="B7" s="1">
        <v>6</v>
      </c>
    </row>
    <row r="8" spans="1:2" x14ac:dyDescent="0.25">
      <c r="A8" t="s">
        <v>154</v>
      </c>
      <c r="B8" s="1">
        <v>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21"/>
  <sheetViews>
    <sheetView workbookViewId="0">
      <selection activeCell="A22" sqref="A22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15</v>
      </c>
      <c r="B1" t="s">
        <v>20</v>
      </c>
    </row>
    <row r="2" spans="1:2" x14ac:dyDescent="0.25">
      <c r="A2" t="s">
        <v>104</v>
      </c>
      <c r="B2" s="1">
        <v>1</v>
      </c>
    </row>
    <row r="3" spans="1:2" x14ac:dyDescent="0.25">
      <c r="A3" t="s">
        <v>112</v>
      </c>
      <c r="B3" s="1">
        <v>2</v>
      </c>
    </row>
    <row r="4" spans="1:2" x14ac:dyDescent="0.25">
      <c r="A4" t="s">
        <v>155</v>
      </c>
      <c r="B4" s="1">
        <v>3</v>
      </c>
    </row>
    <row r="5" spans="1:2" x14ac:dyDescent="0.25">
      <c r="A5" t="s">
        <v>48</v>
      </c>
      <c r="B5" s="1">
        <v>4</v>
      </c>
    </row>
    <row r="6" spans="1:2" x14ac:dyDescent="0.25">
      <c r="A6" t="s">
        <v>156</v>
      </c>
      <c r="B6" s="1">
        <v>5</v>
      </c>
    </row>
    <row r="7" spans="1:2" x14ac:dyDescent="0.25">
      <c r="A7" t="s">
        <v>157</v>
      </c>
      <c r="B7" s="1">
        <v>6</v>
      </c>
    </row>
    <row r="8" spans="1:2" x14ac:dyDescent="0.25">
      <c r="A8" t="s">
        <v>79</v>
      </c>
      <c r="B8" s="1">
        <v>7</v>
      </c>
    </row>
    <row r="9" spans="1:2" x14ac:dyDescent="0.25">
      <c r="A9" t="s">
        <v>158</v>
      </c>
      <c r="B9" s="1">
        <v>8</v>
      </c>
    </row>
    <row r="10" spans="1:2" x14ac:dyDescent="0.25">
      <c r="A10" t="s">
        <v>159</v>
      </c>
      <c r="B10" s="1">
        <v>9</v>
      </c>
    </row>
    <row r="11" spans="1:2" x14ac:dyDescent="0.25">
      <c r="A11" t="s">
        <v>160</v>
      </c>
      <c r="B11" s="1">
        <v>10</v>
      </c>
    </row>
    <row r="12" spans="1:2" x14ac:dyDescent="0.25">
      <c r="A12" t="s">
        <v>161</v>
      </c>
      <c r="B12" s="1">
        <v>11</v>
      </c>
    </row>
    <row r="13" spans="1:2" x14ac:dyDescent="0.25">
      <c r="A13" t="s">
        <v>162</v>
      </c>
      <c r="B13" s="1">
        <v>12</v>
      </c>
    </row>
    <row r="14" spans="1:2" x14ac:dyDescent="0.25">
      <c r="A14" t="s">
        <v>163</v>
      </c>
      <c r="B14" s="1">
        <v>13</v>
      </c>
    </row>
    <row r="15" spans="1:2" x14ac:dyDescent="0.25">
      <c r="A15" t="s">
        <v>36</v>
      </c>
      <c r="B15" s="1">
        <v>14</v>
      </c>
    </row>
    <row r="16" spans="1:2" x14ac:dyDescent="0.25">
      <c r="A16" t="s">
        <v>164</v>
      </c>
      <c r="B16" s="1">
        <v>15</v>
      </c>
    </row>
    <row r="17" spans="1:2" x14ac:dyDescent="0.25">
      <c r="A17" t="s">
        <v>44</v>
      </c>
      <c r="B17" s="1">
        <v>16</v>
      </c>
    </row>
    <row r="18" spans="1:2" x14ac:dyDescent="0.25">
      <c r="A18" t="s">
        <v>125</v>
      </c>
      <c r="B18" s="1">
        <v>17</v>
      </c>
    </row>
    <row r="19" spans="1:2" x14ac:dyDescent="0.25">
      <c r="A19" t="s">
        <v>63</v>
      </c>
      <c r="B19" s="1">
        <v>18</v>
      </c>
    </row>
    <row r="20" spans="1:2" x14ac:dyDescent="0.25">
      <c r="A20" t="s">
        <v>38</v>
      </c>
      <c r="B20" s="1">
        <v>19</v>
      </c>
    </row>
    <row r="21" spans="1:2" x14ac:dyDescent="0.25">
      <c r="A21" t="s">
        <v>165</v>
      </c>
      <c r="B21" s="1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D13" sqref="D13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21</v>
      </c>
      <c r="B1" t="s">
        <v>8</v>
      </c>
      <c r="C1" t="s">
        <v>22</v>
      </c>
    </row>
    <row r="2" spans="1:3" x14ac:dyDescent="0.25">
      <c r="A2" s="1" t="s">
        <v>0</v>
      </c>
      <c r="B2" s="1">
        <v>1</v>
      </c>
      <c r="C2" s="1">
        <v>1</v>
      </c>
    </row>
    <row r="3" spans="1:3" x14ac:dyDescent="0.25">
      <c r="A3" s="1" t="s">
        <v>1</v>
      </c>
      <c r="B3" s="1">
        <v>0</v>
      </c>
      <c r="C3" s="1">
        <v>2</v>
      </c>
    </row>
    <row r="4" spans="1:3" x14ac:dyDescent="0.25">
      <c r="A4" s="1" t="s">
        <v>2</v>
      </c>
      <c r="B4" s="1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10"/>
  <sheetViews>
    <sheetView zoomScaleNormal="100" workbookViewId="0">
      <selection activeCell="J10" sqref="J10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8" customWidth="1"/>
  </cols>
  <sheetData>
    <row r="1" spans="1:11" x14ac:dyDescent="0.25">
      <c r="A1" t="s">
        <v>4</v>
      </c>
      <c r="B1" t="s">
        <v>23</v>
      </c>
      <c r="C1" t="s">
        <v>22</v>
      </c>
      <c r="D1" t="s">
        <v>8</v>
      </c>
      <c r="E1" t="s">
        <v>19</v>
      </c>
      <c r="F1" t="s">
        <v>18</v>
      </c>
      <c r="G1" t="s">
        <v>24</v>
      </c>
      <c r="H1" t="s">
        <v>12</v>
      </c>
      <c r="I1" t="s">
        <v>25</v>
      </c>
      <c r="J1" t="s">
        <v>11</v>
      </c>
      <c r="K1" t="s">
        <v>13</v>
      </c>
    </row>
    <row r="2" spans="1:11" x14ac:dyDescent="0.25">
      <c r="A2" s="7">
        <v>44748</v>
      </c>
      <c r="B2" s="1">
        <v>1</v>
      </c>
      <c r="C2" s="1">
        <v>1</v>
      </c>
      <c r="D2" s="1">
        <v>1</v>
      </c>
      <c r="E2" s="1"/>
      <c r="F2" s="1">
        <v>1</v>
      </c>
      <c r="G2" s="1">
        <v>1</v>
      </c>
      <c r="H2" s="1">
        <v>0</v>
      </c>
      <c r="I2" s="1">
        <v>0</v>
      </c>
      <c r="J2" s="1">
        <v>9999999999999</v>
      </c>
      <c r="K2" s="7">
        <v>44748</v>
      </c>
    </row>
    <row r="3" spans="1:11" x14ac:dyDescent="0.25">
      <c r="A3" s="7">
        <v>44739</v>
      </c>
      <c r="B3" s="1">
        <v>2</v>
      </c>
      <c r="C3" s="1">
        <v>1</v>
      </c>
      <c r="D3" s="1">
        <v>1</v>
      </c>
      <c r="E3" s="1"/>
      <c r="F3" s="1">
        <v>1</v>
      </c>
      <c r="G3" s="1">
        <v>2</v>
      </c>
      <c r="H3" s="1">
        <v>3</v>
      </c>
      <c r="I3" s="1">
        <v>10</v>
      </c>
      <c r="J3" s="1">
        <v>333</v>
      </c>
      <c r="K3" s="7">
        <v>44748</v>
      </c>
    </row>
    <row r="4" spans="1:11" x14ac:dyDescent="0.25">
      <c r="A4" s="7">
        <v>44739</v>
      </c>
      <c r="B4" s="1">
        <v>3</v>
      </c>
      <c r="C4" s="1">
        <v>1</v>
      </c>
      <c r="D4" s="1">
        <v>1</v>
      </c>
      <c r="E4" s="1"/>
      <c r="F4" s="1">
        <v>1</v>
      </c>
      <c r="G4" s="1">
        <v>5</v>
      </c>
      <c r="H4" s="1">
        <v>10</v>
      </c>
      <c r="I4" s="1">
        <v>20</v>
      </c>
      <c r="J4" s="1">
        <v>456</v>
      </c>
      <c r="K4" s="7">
        <v>44748</v>
      </c>
    </row>
    <row r="5" spans="1:11" x14ac:dyDescent="0.25">
      <c r="A5" s="7">
        <v>44739</v>
      </c>
      <c r="B5" s="1">
        <v>4</v>
      </c>
      <c r="C5" s="1">
        <v>1</v>
      </c>
      <c r="D5" s="1">
        <v>1</v>
      </c>
      <c r="E5" s="1"/>
      <c r="F5" s="1">
        <v>1</v>
      </c>
      <c r="G5" s="1">
        <v>4</v>
      </c>
      <c r="H5" s="1">
        <v>20</v>
      </c>
      <c r="I5" s="1">
        <v>20</v>
      </c>
      <c r="J5" s="1" t="s">
        <v>176</v>
      </c>
      <c r="K5" s="7">
        <v>44748</v>
      </c>
    </row>
    <row r="6" spans="1:11" x14ac:dyDescent="0.25">
      <c r="A6" s="7">
        <v>44739</v>
      </c>
      <c r="B6" s="1">
        <v>5</v>
      </c>
      <c r="C6" s="1">
        <v>1</v>
      </c>
      <c r="D6" s="1">
        <v>1</v>
      </c>
      <c r="E6" s="1"/>
      <c r="F6" s="1">
        <v>1</v>
      </c>
      <c r="G6" s="1">
        <v>1</v>
      </c>
      <c r="H6" s="1">
        <v>10</v>
      </c>
      <c r="I6" s="1">
        <v>100</v>
      </c>
      <c r="J6" s="1" t="s">
        <v>177</v>
      </c>
      <c r="K6" s="7">
        <v>44783</v>
      </c>
    </row>
    <row r="7" spans="1:11" x14ac:dyDescent="0.25">
      <c r="A7" s="7">
        <v>44739</v>
      </c>
      <c r="B7" s="1">
        <v>6</v>
      </c>
      <c r="C7" s="1">
        <v>1</v>
      </c>
      <c r="D7" s="1">
        <v>1</v>
      </c>
      <c r="E7" s="1"/>
      <c r="F7" s="1">
        <v>1</v>
      </c>
      <c r="G7" s="1">
        <v>5</v>
      </c>
      <c r="H7" s="1">
        <v>10</v>
      </c>
      <c r="I7" s="1">
        <v>55</v>
      </c>
      <c r="J7" s="1" t="s">
        <v>178</v>
      </c>
      <c r="K7" s="7">
        <v>44781</v>
      </c>
    </row>
    <row r="8" spans="1:11" x14ac:dyDescent="0.25">
      <c r="A8" s="7">
        <v>44739</v>
      </c>
      <c r="B8" s="1">
        <v>7</v>
      </c>
      <c r="C8" s="1">
        <v>3</v>
      </c>
      <c r="D8" s="1">
        <v>0</v>
      </c>
      <c r="E8" s="1">
        <v>3</v>
      </c>
      <c r="F8" s="1"/>
      <c r="G8" s="1">
        <v>5</v>
      </c>
      <c r="H8" s="1">
        <v>10</v>
      </c>
      <c r="I8" s="1">
        <v>200</v>
      </c>
      <c r="J8" s="1">
        <v>456</v>
      </c>
      <c r="K8" s="7">
        <v>44748</v>
      </c>
    </row>
    <row r="9" spans="1:11" x14ac:dyDescent="0.25">
      <c r="A9" s="7">
        <v>44739</v>
      </c>
      <c r="B9" s="1">
        <v>7</v>
      </c>
      <c r="C9" s="1">
        <v>3</v>
      </c>
      <c r="D9" s="1">
        <v>0</v>
      </c>
      <c r="E9" s="1">
        <v>3</v>
      </c>
      <c r="F9" s="1"/>
      <c r="G9" s="1">
        <v>1</v>
      </c>
      <c r="H9" s="1">
        <v>10</v>
      </c>
      <c r="I9" s="1">
        <v>1000</v>
      </c>
      <c r="J9" s="1" t="s">
        <v>177</v>
      </c>
      <c r="K9" s="7">
        <v>44783</v>
      </c>
    </row>
    <row r="10" spans="1:11" x14ac:dyDescent="0.25">
      <c r="A10" s="7">
        <v>44739</v>
      </c>
      <c r="B10" s="1">
        <v>8</v>
      </c>
      <c r="C10" s="1">
        <v>3</v>
      </c>
      <c r="D10" s="1">
        <v>0</v>
      </c>
      <c r="E10" s="1">
        <v>1</v>
      </c>
      <c r="F10" s="1"/>
      <c r="G10" s="1">
        <v>5</v>
      </c>
      <c r="H10" s="1">
        <v>10</v>
      </c>
      <c r="I10" s="1">
        <v>550</v>
      </c>
      <c r="J10" s="1" t="s">
        <v>178</v>
      </c>
      <c r="K10" s="7">
        <v>44781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1:H8"/>
  <sheetViews>
    <sheetView zoomScale="85" zoomScaleNormal="85" workbookViewId="0">
      <selection activeCell="D14" sqref="D14"/>
    </sheetView>
  </sheetViews>
  <sheetFormatPr baseColWidth="10" defaultRowHeight="15" x14ac:dyDescent="0.25"/>
  <cols>
    <col min="1" max="1" width="12.85546875" customWidth="1"/>
    <col min="2" max="2" width="14.28515625" customWidth="1"/>
    <col min="3" max="3" width="16.85546875" customWidth="1"/>
    <col min="4" max="4" width="16.7109375" customWidth="1"/>
  </cols>
  <sheetData>
    <row r="1" spans="1:8" x14ac:dyDescent="0.25">
      <c r="A1" t="s">
        <v>11</v>
      </c>
      <c r="B1" t="s">
        <v>9</v>
      </c>
      <c r="C1" t="s">
        <v>15</v>
      </c>
      <c r="D1" t="s">
        <v>12</v>
      </c>
      <c r="E1" t="s">
        <v>25</v>
      </c>
      <c r="F1" t="s">
        <v>175</v>
      </c>
      <c r="H1" t="s">
        <v>26</v>
      </c>
    </row>
    <row r="2" spans="1:8" x14ac:dyDescent="0.25">
      <c r="A2">
        <v>333</v>
      </c>
      <c r="B2" t="s">
        <v>37</v>
      </c>
      <c r="C2" t="s">
        <v>38</v>
      </c>
      <c r="D2">
        <v>3</v>
      </c>
      <c r="E2">
        <v>30</v>
      </c>
      <c r="F2" s="12">
        <v>44739</v>
      </c>
      <c r="G2" s="12"/>
      <c r="H2" t="s">
        <v>27</v>
      </c>
    </row>
    <row r="3" spans="1:8" x14ac:dyDescent="0.25">
      <c r="A3" t="s">
        <v>176</v>
      </c>
      <c r="B3" t="s">
        <v>40</v>
      </c>
      <c r="C3" t="s">
        <v>38</v>
      </c>
      <c r="D3">
        <v>20</v>
      </c>
      <c r="E3">
        <v>400</v>
      </c>
      <c r="F3" s="12">
        <v>44739</v>
      </c>
      <c r="G3" s="12"/>
      <c r="H3" t="s">
        <v>28</v>
      </c>
    </row>
    <row r="4" spans="1:8" x14ac:dyDescent="0.25">
      <c r="F4" s="12"/>
      <c r="G4" s="12"/>
      <c r="H4" t="s">
        <v>29</v>
      </c>
    </row>
    <row r="5" spans="1:8" x14ac:dyDescent="0.25">
      <c r="F5" s="12"/>
      <c r="G5" s="12"/>
      <c r="H5" t="s">
        <v>30</v>
      </c>
    </row>
    <row r="6" spans="1:8" x14ac:dyDescent="0.25">
      <c r="F6" s="12"/>
      <c r="H6" t="s">
        <v>31</v>
      </c>
    </row>
    <row r="7" spans="1:8" x14ac:dyDescent="0.25">
      <c r="H7" t="s">
        <v>32</v>
      </c>
    </row>
    <row r="8" spans="1:8" x14ac:dyDescent="0.25">
      <c r="H8" t="s">
        <v>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BB90D-C9D0-4B50-8F88-B1E12AB6CCEA}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369B9-ED1C-4335-8041-FDDF096FBBEB}">
  <sheetPr codeName="Hoja1"/>
  <dimension ref="A1:E5"/>
  <sheetViews>
    <sheetView workbookViewId="0">
      <selection activeCell="A4" sqref="A4"/>
    </sheetView>
  </sheetViews>
  <sheetFormatPr baseColWidth="10" defaultRowHeight="15" x14ac:dyDescent="0.25"/>
  <cols>
    <col min="1" max="1" width="14" customWidth="1"/>
    <col min="3" max="3" width="13.140625" customWidth="1"/>
    <col min="4" max="4" width="12.42578125" customWidth="1"/>
  </cols>
  <sheetData>
    <row r="1" spans="1:5" x14ac:dyDescent="0.25">
      <c r="A1" t="s">
        <v>6</v>
      </c>
      <c r="B1" t="s">
        <v>15</v>
      </c>
      <c r="C1" t="s">
        <v>9</v>
      </c>
      <c r="D1" t="s">
        <v>12</v>
      </c>
      <c r="E1" t="s">
        <v>25</v>
      </c>
    </row>
    <row r="2" spans="1:5" x14ac:dyDescent="0.25">
      <c r="A2" t="s">
        <v>79</v>
      </c>
      <c r="B2" t="s">
        <v>38</v>
      </c>
      <c r="C2" t="s">
        <v>37</v>
      </c>
      <c r="D2">
        <v>65</v>
      </c>
      <c r="E2">
        <v>154</v>
      </c>
    </row>
    <row r="3" spans="1:5" x14ac:dyDescent="0.25">
      <c r="A3" t="s">
        <v>79</v>
      </c>
      <c r="B3" t="s">
        <v>38</v>
      </c>
      <c r="C3" t="s">
        <v>39</v>
      </c>
      <c r="D3">
        <v>10</v>
      </c>
      <c r="E3">
        <v>34</v>
      </c>
    </row>
    <row r="4" spans="1:5" x14ac:dyDescent="0.25">
      <c r="A4" t="s">
        <v>140</v>
      </c>
      <c r="B4" t="s">
        <v>166</v>
      </c>
      <c r="C4" t="s">
        <v>37</v>
      </c>
      <c r="D4">
        <v>30</v>
      </c>
      <c r="E4">
        <v>31</v>
      </c>
    </row>
    <row r="5" spans="1:5" x14ac:dyDescent="0.25">
      <c r="A5" t="s">
        <v>140</v>
      </c>
      <c r="B5" t="s">
        <v>38</v>
      </c>
      <c r="C5" t="s">
        <v>39</v>
      </c>
      <c r="D5">
        <v>10</v>
      </c>
      <c r="E5">
        <v>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5793-E93B-4E50-B02C-FBD37E0B066D}">
  <sheetPr codeName="Hoja2"/>
  <dimension ref="A1:E3"/>
  <sheetViews>
    <sheetView workbookViewId="0">
      <selection activeCell="D2" sqref="D2"/>
    </sheetView>
  </sheetViews>
  <sheetFormatPr baseColWidth="10" defaultRowHeight="15" x14ac:dyDescent="0.25"/>
  <cols>
    <col min="1" max="1" width="12.42578125" customWidth="1"/>
    <col min="3" max="3" width="13.140625" customWidth="1"/>
    <col min="4" max="4" width="12.42578125" customWidth="1"/>
  </cols>
  <sheetData>
    <row r="1" spans="1:5" x14ac:dyDescent="0.25">
      <c r="A1" t="s">
        <v>5</v>
      </c>
      <c r="B1" t="s">
        <v>15</v>
      </c>
      <c r="C1" t="s">
        <v>9</v>
      </c>
      <c r="D1" t="s">
        <v>12</v>
      </c>
      <c r="E1" t="s">
        <v>25</v>
      </c>
    </row>
    <row r="2" spans="1:5" x14ac:dyDescent="0.25">
      <c r="A2" t="s">
        <v>148</v>
      </c>
      <c r="B2" t="s">
        <v>38</v>
      </c>
      <c r="C2" t="s">
        <v>37</v>
      </c>
      <c r="D2">
        <v>45</v>
      </c>
      <c r="E2">
        <v>11</v>
      </c>
    </row>
    <row r="3" spans="1:5" x14ac:dyDescent="0.25">
      <c r="A3" t="s">
        <v>148</v>
      </c>
      <c r="B3" t="s">
        <v>38</v>
      </c>
      <c r="C3" t="s">
        <v>39</v>
      </c>
      <c r="D3">
        <v>20</v>
      </c>
      <c r="E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5C05B7FD-00E8-497B-A968-AFEEC4C3038E}">
  <ds:schemaRefs/>
</ds:datastoreItem>
</file>

<file path=customXml/itemProps2.xml><?xml version="1.0" encoding="utf-8"?>
<ds:datastoreItem xmlns:ds="http://schemas.openxmlformats.org/officeDocument/2006/customXml" ds:itemID="{A5E8A946-2E34-4B8D-BA29-F03E5D076821}">
  <ds:schemaRefs/>
</ds:datastoreItem>
</file>

<file path=customXml/itemProps3.xml><?xml version="1.0" encoding="utf-8"?>
<ds:datastoreItem xmlns:ds="http://schemas.openxmlformats.org/officeDocument/2006/customXml" ds:itemID="{161F7405-3A55-4B71-B31D-2AD43BFF4BB4}">
  <ds:schemaRefs/>
</ds:datastoreItem>
</file>

<file path=customXml/itemProps4.xml><?xml version="1.0" encoding="utf-8"?>
<ds:datastoreItem xmlns:ds="http://schemas.openxmlformats.org/officeDocument/2006/customXml" ds:itemID="{3068F4AE-7D46-4918-9349-3FBDD85D29FC}">
  <ds:schemaRefs/>
</ds:datastoreItem>
</file>

<file path=customXml/itemProps5.xml><?xml version="1.0" encoding="utf-8"?>
<ds:datastoreItem xmlns:ds="http://schemas.openxmlformats.org/officeDocument/2006/customXml" ds:itemID="{0B3FED25-5644-4EAE-BE88-DEEE3C85ED26}">
  <ds:schemaRefs/>
</ds:datastoreItem>
</file>

<file path=customXml/itemProps6.xml><?xml version="1.0" encoding="utf-8"?>
<ds:datastoreItem xmlns:ds="http://schemas.openxmlformats.org/officeDocument/2006/customXml" ds:itemID="{1098B0BB-4EC1-4608-BB84-8F67A78728DB}">
  <ds:schemaRefs/>
</ds:datastoreItem>
</file>

<file path=customXml/itemProps7.xml><?xml version="1.0" encoding="utf-8"?>
<ds:datastoreItem xmlns:ds="http://schemas.openxmlformats.org/officeDocument/2006/customXml" ds:itemID="{D861D1C7-8F3B-4C54-822F-072E623298AF}">
  <ds:schemaRefs/>
</ds:datastoreItem>
</file>

<file path=customXml/itemProps8.xml><?xml version="1.0" encoding="utf-8"?>
<ds:datastoreItem xmlns:ds="http://schemas.openxmlformats.org/officeDocument/2006/customXml" ds:itemID="{A38F433D-B6A5-46F8-8E48-AD5D08F63D5C}">
  <ds:schemaRefs/>
</ds:datastoreItem>
</file>

<file path=customXml/itemProps9.xml><?xml version="1.0" encoding="utf-8"?>
<ds:datastoreItem xmlns:ds="http://schemas.openxmlformats.org/officeDocument/2006/customXml" ds:itemID="{31EB7792-4B18-4A1D-9E69-47250332656D}">
  <ds:schemaRefs/>
</ds:datastoreItem>
</file>

<file path=customXml/itemProps10.xml><?xml version="1.0" encoding="utf-8"?>
<ds:datastoreItem xmlns:ds="http://schemas.openxmlformats.org/officeDocument/2006/customXml" ds:itemID="{22EC1C85-2FCE-44F6-90F6-602F5335FA79}">
  <ds:schemaRefs/>
</ds:datastoreItem>
</file>

<file path=customXml/itemProps11.xml><?xml version="1.0" encoding="utf-8"?>
<ds:datastoreItem xmlns:ds="http://schemas.openxmlformats.org/officeDocument/2006/customXml" ds:itemID="{B6C373D9-5C18-435F-A9E1-A1C4C797BDF9}">
  <ds:schemaRefs/>
</ds:datastoreItem>
</file>

<file path=customXml/itemProps12.xml><?xml version="1.0" encoding="utf-8"?>
<ds:datastoreItem xmlns:ds="http://schemas.openxmlformats.org/officeDocument/2006/customXml" ds:itemID="{FBC590C9-DA43-4352-BF28-D5A5FEE2FC69}">
  <ds:schemaRefs/>
</ds:datastoreItem>
</file>

<file path=customXml/itemProps13.xml><?xml version="1.0" encoding="utf-8"?>
<ds:datastoreItem xmlns:ds="http://schemas.openxmlformats.org/officeDocument/2006/customXml" ds:itemID="{05F6E5A8-A051-4D74-BC68-6CFD53A82B5B}">
  <ds:schemaRefs/>
</ds:datastoreItem>
</file>

<file path=customXml/itemProps14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B0D08F51-EB4B-4D59-9180-63FBFCD0FCBF}">
  <ds:schemaRefs/>
</ds:datastoreItem>
</file>

<file path=customXml/itemProps16.xml><?xml version="1.0" encoding="utf-8"?>
<ds:datastoreItem xmlns:ds="http://schemas.openxmlformats.org/officeDocument/2006/customXml" ds:itemID="{B7976053-E576-46F4-80C3-91E082E868FA}">
  <ds:schemaRefs/>
</ds:datastoreItem>
</file>

<file path=customXml/itemProps17.xml><?xml version="1.0" encoding="utf-8"?>
<ds:datastoreItem xmlns:ds="http://schemas.openxmlformats.org/officeDocument/2006/customXml" ds:itemID="{2F8F1561-6CF0-462F-8796-BCEE3FC40B73}">
  <ds:schemaRefs/>
</ds:datastoreItem>
</file>

<file path=customXml/itemProps18.xml><?xml version="1.0" encoding="utf-8"?>
<ds:datastoreItem xmlns:ds="http://schemas.openxmlformats.org/officeDocument/2006/customXml" ds:itemID="{0FDB32EB-C6F9-469E-9C83-8E6A8203D950}">
  <ds:schemaRefs/>
</ds:datastoreItem>
</file>

<file path=customXml/itemProps19.xml><?xml version="1.0" encoding="utf-8"?>
<ds:datastoreItem xmlns:ds="http://schemas.openxmlformats.org/officeDocument/2006/customXml" ds:itemID="{2C1B7A91-3AD1-4CB5-A800-4BC105324420}">
  <ds:schemaRefs/>
</ds:datastoreItem>
</file>

<file path=customXml/itemProps20.xml><?xml version="1.0" encoding="utf-8"?>
<ds:datastoreItem xmlns:ds="http://schemas.openxmlformats.org/officeDocument/2006/customXml" ds:itemID="{B7674C1D-B503-4232-B999-7696EE2084FE}">
  <ds:schemaRefs/>
</ds:datastoreItem>
</file>

<file path=customXml/itemProps21.xml><?xml version="1.0" encoding="utf-8"?>
<ds:datastoreItem xmlns:ds="http://schemas.openxmlformats.org/officeDocument/2006/customXml" ds:itemID="{035E197F-66FB-4886-8EA9-CAB8A9DD1F86}">
  <ds:schemaRefs/>
</ds:datastoreItem>
</file>

<file path=customXml/itemProps22.xml><?xml version="1.0" encoding="utf-8"?>
<ds:datastoreItem xmlns:ds="http://schemas.openxmlformats.org/officeDocument/2006/customXml" ds:itemID="{DF1523BC-C448-4441-8608-DD985BD0E48F}">
  <ds:schemaRefs/>
</ds:datastoreItem>
</file>

<file path=customXml/itemProps23.xml><?xml version="1.0" encoding="utf-8"?>
<ds:datastoreItem xmlns:ds="http://schemas.openxmlformats.org/officeDocument/2006/customXml" ds:itemID="{9E44042D-23B0-4137-986C-DB18EABD0E52}">
  <ds:schemaRefs/>
</ds:datastoreItem>
</file>

<file path=customXml/itemProps24.xml><?xml version="1.0" encoding="utf-8"?>
<ds:datastoreItem xmlns:ds="http://schemas.openxmlformats.org/officeDocument/2006/customXml" ds:itemID="{3E6EC57A-8DCC-451F-95BC-1EDE91858A9C}">
  <ds:schemaRefs/>
</ds:datastoreItem>
</file>

<file path=customXml/itemProps25.xml><?xml version="1.0" encoding="utf-8"?>
<ds:datastoreItem xmlns:ds="http://schemas.openxmlformats.org/officeDocument/2006/customXml" ds:itemID="{35BF3791-AC36-40B6-8221-B944A2B4B474}">
  <ds:schemaRefs/>
</ds:datastoreItem>
</file>

<file path=customXml/itemProps26.xml><?xml version="1.0" encoding="utf-8"?>
<ds:datastoreItem xmlns:ds="http://schemas.openxmlformats.org/officeDocument/2006/customXml" ds:itemID="{6BE9C1C2-B0C9-4215-8C37-F795CE45C8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60</vt:i4>
      </vt:variant>
    </vt:vector>
  </HeadingPairs>
  <TitlesOfParts>
    <vt:vector size="74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 inv</vt:lpstr>
      <vt:lpstr>aux ent</vt:lpstr>
      <vt:lpstr>aux sal</vt:lpstr>
      <vt:lpstr>aentAr</vt:lpstr>
      <vt:lpstr>aentCant</vt:lpstr>
      <vt:lpstr>aentCost</vt:lpstr>
      <vt:lpstr>aentProd</vt:lpstr>
      <vt:lpstr>aentProv</vt:lpstr>
      <vt:lpstr>ainvProdE</vt:lpstr>
      <vt:lpstr>asalAr</vt:lpstr>
      <vt:lpstr>asalCant</vt:lpstr>
      <vt:lpstr>asalCost</vt:lpstr>
      <vt:lpstr>asalProd</vt:lpstr>
      <vt:lpstr>asalSuc</vt:lpstr>
      <vt:lpstr>aux_cols</vt:lpstr>
      <vt:lpstr>auxAr</vt:lpstr>
      <vt:lpstr>auxFechCad</vt:lpstr>
      <vt:lpstr>auxLotCantDisp</vt:lpstr>
      <vt:lpstr>auxLotCantDisp_r</vt:lpstr>
      <vt:lpstr>auxLotCostDisp</vt:lpstr>
      <vt:lpstr>auxLotCostDisp_r</vt:lpstr>
      <vt:lpstr>auxLotDisp</vt:lpstr>
      <vt:lpstr>auxLotDisp_r</vt:lpstr>
      <vt:lpstr>auxProdDisp</vt:lpstr>
      <vt:lpstr>auxProdDisp_r</vt:lpstr>
      <vt:lpstr>bas</vt:lpstr>
      <vt:lpstr>CantEnt</vt:lpstr>
      <vt:lpstr>CantExt</vt:lpstr>
      <vt:lpstr>CantSal</vt:lpstr>
      <vt:lpstr>col_CANTIDAD</vt:lpstr>
      <vt:lpstr>col_COSTO_UNITARIO</vt:lpstr>
      <vt:lpstr>col_FECHA_CAD</vt:lpstr>
      <vt:lpstr>col_LOTE</vt:lpstr>
      <vt:lpstr>col_PRODUCTO</vt:lpstr>
      <vt:lpstr>col_UNIDAD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encEnt</vt:lpstr>
      <vt:lpstr>EncInv</vt:lpstr>
      <vt:lpstr>encSal</vt:lpstr>
      <vt:lpstr>FechExt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  <vt:lpstr>ValEnt</vt:lpstr>
      <vt:lpstr>ValExt</vt:lpstr>
      <vt:lpstr>ValSal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2022-07-23T19:56:54Z</dcterms:modified>
</cp:coreProperties>
</file>