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Definition2.xml" ContentType="application/vnd.openxmlformats-officedocument.spreadsheetml.pivotCacheDefinition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customXml/itemProps20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225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pafug\OneDrive\Documentos\PROG\vba grj\inventory\inventory\"/>
    </mc:Choice>
  </mc:AlternateContent>
  <xr:revisionPtr revIDLastSave="0" documentId="13_ncr:1_{55CCE296-35F1-4280-A8F1-4B8862A30DDB}" xr6:coauthVersionLast="47" xr6:coauthVersionMax="47" xr10:uidLastSave="{00000000-0000-0000-0000-000000000000}"/>
  <bookViews>
    <workbookView xWindow="-120" yWindow="-120" windowWidth="20730" windowHeight="11160" tabRatio="836" xr2:uid="{D0EDAFDB-9B1C-42B7-84F5-A604B73174C5}"/>
  </bookViews>
  <sheets>
    <sheet name="dash Inv" sheetId="5" r:id="rId1"/>
    <sheet name="dash Ent" sheetId="11" r:id="rId2"/>
    <sheet name="dash Sal" sheetId="10" r:id="rId3"/>
    <sheet name="notaMov" sheetId="3" r:id="rId4"/>
    <sheet name="Prod" sheetId="1" r:id="rId5"/>
    <sheet name="Prov" sheetId="7" r:id="rId6"/>
    <sheet name="Suc" sheetId="8" r:id="rId7"/>
    <sheet name="Ars" sheetId="6" r:id="rId8"/>
    <sheet name="tMov" sheetId="4" r:id="rId9"/>
    <sheet name="hMov" sheetId="2" r:id="rId10"/>
    <sheet name="aux lotes" sheetId="9" r:id="rId11"/>
  </sheets>
  <functionGroups builtInGroupCount="19"/>
  <definedNames>
    <definedName name="auxLotCantDisp">'aux lotes'!$H$2</definedName>
    <definedName name="auxLotCostDisp">'aux lotes'!$I$2</definedName>
    <definedName name="auxLotDisp">'aux lotes'!$F$2</definedName>
    <definedName name="auxProdDisp">'aux lotes'!$G$2</definedName>
    <definedName name="bas">notaMov!$A$9:$F$9</definedName>
    <definedName name="col_cantidad">notaMov!$D$9</definedName>
    <definedName name="col_costo_unitario">notaMov!$F$9</definedName>
    <definedName name="col_fecha_cad">notaMov!$E$9</definedName>
    <definedName name="col_lote">notaMov!$C$9</definedName>
    <definedName name="col_producto">notaMov!$A$9</definedName>
    <definedName name="col_unidad">notaMov!$B$9</definedName>
    <definedName name="e_cantidad">notaMov!$D$8</definedName>
    <definedName name="e_costo_unitario">notaMov!$F$8</definedName>
    <definedName name="e_fecha_cad">notaMov!$E$8</definedName>
    <definedName name="e_lote">notaMov!$C$8</definedName>
    <definedName name="e_producto">notaMov!$A$8</definedName>
    <definedName name="e_unidad">notaMov!$B$8</definedName>
    <definedName name="enc">notaMov!$A$8:$F$8</definedName>
    <definedName name="grl">notaMov!$A$2:$A$6</definedName>
    <definedName name="iniarea">ar[[#Headers],[area]]</definedName>
    <definedName name="inihmov">hmov[[#Headers],[fecha]]</definedName>
    <definedName name="iniprod">prod[[#Headers],[producto]]</definedName>
    <definedName name="iniprov">prov[[#Headers],[proveedor]]</definedName>
    <definedName name="inisuc">suc[[#Headers],[sucursal]]</definedName>
    <definedName name="initmov">tmov[[#Headers],[tipo]]</definedName>
    <definedName name="nfecha">notaMov!$B$2</definedName>
    <definedName name="ninout">notaMov!$B$6</definedName>
    <definedName name="nproveedor">notaMov!$B$4</definedName>
    <definedName name="nsucursal">notaMov!$B$3</definedName>
    <definedName name="ntipo_mov">notaMov!$B$5</definedName>
    <definedName name="penc">notaMov!$A$8</definedName>
    <definedName name="pgrl">notaMov!$A$2</definedName>
  </definedNames>
  <calcPr calcId="191029"/>
  <pivotCaches>
    <pivotCache cacheId="172" r:id="rId12"/>
    <pivotCache cacheId="254" r:id="rId13"/>
  </pivotCaches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hmov_9751f634-ec00-4ede-96fd-a3595885ee1f" name="hmov" connection="Consulta - hmov"/>
          <x15:modelTable id="prod_7034fbb2-eb06-4e3f-aec3-fac7e9847096" name="prod" connection="Consulta - prod"/>
          <x15:modelTable id="prov_a98ea2fd-e3db-4d95-b261-62decb2f3f17" name="prov" connection="Consulta - prov"/>
          <x15:modelTable id="suc_87a79418-0728-4155-8892-dc7bdd3727d6" name="suc" connection="Consulta - suc"/>
          <x15:modelTable id="tmov_db33d8d4-503a-4498-98e1-db4341ae9605" name="tmov" connection="Consulta - tmov"/>
          <x15:modelTable id="area_570ff796-2aad-4bc5-8b93-df80be0c76bd" name="area" connection="Consulta - area"/>
        </x15:modelTables>
        <x15:modelRelationships>
          <x15:modelRelationship fromTable="hmov" fromColumn="idtipo" toTable="tmov" toColumn="idtipo"/>
          <x15:modelRelationship fromTable="hmov" fromColumn="idsucursal" toTable="suc" toColumn="idsucursal"/>
          <x15:modelRelationship fromTable="hmov" fromColumn="idproducto" toTable="prod" toColumn="idprod"/>
          <x15:modelRelationship fromTable="hmov" fromColumn="idproveedor" toTable="prov" toColumn="idproveedor"/>
        </x15:modelRelationships>
        <x15:extLst>
          <ext xmlns:x16="http://schemas.microsoft.com/office/spreadsheetml/2014/11/main" uri="{9835A34E-60A6-4A7C-AAB8-D5F71C897F49}">
            <x16:modelTimeGroupings>
              <x16:modelTimeGrouping tableName="hmov" columnName="fecha" columnId="fecha">
                <x16:calculatedTimeColumn columnName="fecha (índice de meses)" columnId="fecha (índice de meses)" contentType="monthsindex" isSelected="1"/>
                <x16:calculatedTimeColumn columnName="fecha (mes)" columnId="fecha (mes)" contentType="months" isSelected="1"/>
              </x16:modelTimeGrouping>
            </x16:modelTimeGroupings>
          </ext>
        </x15:extLst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E7" i="1" l="1"/>
  <c r="H7" i="1" a="1"/>
  <c r="H7" i="1" s="1"/>
  <c r="F7" i="1" s="1" a="1"/>
  <c r="F7" i="1" s="1"/>
  <c r="E6" i="1"/>
  <c r="H6" i="1" a="1"/>
  <c r="H6" i="1" s="1"/>
  <c r="F6" i="1" s="1" a="1"/>
  <c r="F6" i="1" s="1"/>
  <c r="E5" i="1"/>
  <c r="H5" i="1" a="1"/>
  <c r="H5" i="1" s="1"/>
  <c r="F5" i="1" s="1" a="1"/>
  <c r="F5" i="1" s="1"/>
  <c r="H2" i="1" a="1"/>
  <c r="H2" i="1" s="1"/>
  <c r="H3" i="1" a="1"/>
  <c r="H3" i="1" s="1"/>
  <c r="H4" i="1" a="1"/>
  <c r="H4" i="1" s="1"/>
  <c r="E4" i="1" l="1"/>
  <c r="F4" i="1" a="1"/>
  <c r="F4" i="1" s="1"/>
  <c r="A2" i="9" a="1"/>
  <c r="A2" i="9" s="1"/>
  <c r="F3" i="1" a="1"/>
  <c r="F3" i="1" s="1"/>
  <c r="E3" i="1"/>
  <c r="F2" i="1" a="1"/>
  <c r="F2" i="1" s="1"/>
  <c r="E2" i="1"/>
  <c r="B6" i="3"/>
  <c r="D2" i="9" l="1" a="1"/>
  <c r="D2" i="9" s="1"/>
  <c r="B2" i="9" a="1"/>
  <c r="B2" i="9" s="1"/>
  <c r="C2" i="9" a="1"/>
  <c r="C2" i="9" s="1"/>
  <c r="F2" i="9" l="1" a="1"/>
  <c r="F2" i="9" s="1"/>
  <c r="H2" i="9" s="1" a="1"/>
  <c r="H2" i="9" s="1"/>
  <c r="I2" i="9" l="1" a="1"/>
  <c r="I2" i="9" s="1"/>
  <c r="G2" i="9" a="1"/>
  <c r="G2" i="9" s="1"/>
  <c r="G7" i="1" l="1" a="1"/>
  <c r="G7" i="1" s="1"/>
  <c r="G4" i="1" a="1"/>
  <c r="G4" i="1" s="1"/>
  <c r="G6" i="1" a="1"/>
  <c r="G6" i="1" s="1"/>
  <c r="G2" i="1" a="1"/>
  <c r="G2" i="1" s="1"/>
  <c r="G5" i="1" a="1"/>
  <c r="G5" i="1" s="1"/>
  <c r="G3" i="1" a="1"/>
  <c r="G3" i="1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D4BA9DAC-AF46-44E8-88BE-D21BEB0B1A75}" name="Consulta - area" description="Conexión a la consulta 'area' en el libro." type="100" refreshedVersion="8" minRefreshableVersion="5">
    <extLst>
      <ext xmlns:x15="http://schemas.microsoft.com/office/spreadsheetml/2010/11/main" uri="{DE250136-89BD-433C-8126-D09CA5730AF9}">
        <x15:connection id="7599d1e6-8099-4c99-a6ef-733e4b16725b"/>
      </ext>
    </extLst>
  </connection>
  <connection id="2" xr16:uid="{2836F233-3055-4160-BB59-2E8EB94DC5E4}" name="Consulta - hmov" description="Conexión a la consulta 'hmov' en el libro." type="100" refreshedVersion="8" minRefreshableVersion="5">
    <extLst>
      <ext xmlns:x15="http://schemas.microsoft.com/office/spreadsheetml/2010/11/main" uri="{DE250136-89BD-433C-8126-D09CA5730AF9}">
        <x15:connection id="f19c7152-6fb8-4ae9-a891-5d19b69fb43d"/>
      </ext>
    </extLst>
  </connection>
  <connection id="3" xr16:uid="{54343B45-C44B-452B-9C3F-5E1E37D6ADBC}" name="Consulta - prod" description="Conexión a la consulta 'prod' en el libro." type="100" refreshedVersion="8" minRefreshableVersion="5">
    <extLst>
      <ext xmlns:x15="http://schemas.microsoft.com/office/spreadsheetml/2010/11/main" uri="{DE250136-89BD-433C-8126-D09CA5730AF9}">
        <x15:connection id="75d43440-46bb-4f03-8722-2ebf51a69924"/>
      </ext>
    </extLst>
  </connection>
  <connection id="4" xr16:uid="{9653FD04-6A90-4FF7-9C82-5FAC6D502196}" name="Consulta - prov" description="Conexión a la consulta 'prov' en el libro." type="100" refreshedVersion="8" minRefreshableVersion="5">
    <extLst>
      <ext xmlns:x15="http://schemas.microsoft.com/office/spreadsheetml/2010/11/main" uri="{DE250136-89BD-433C-8126-D09CA5730AF9}">
        <x15:connection id="4e59f9d7-f345-4a2d-aaae-9430653cbc8d"/>
      </ext>
    </extLst>
  </connection>
  <connection id="5" xr16:uid="{F6639F0F-142B-4372-86FF-6AB2DE46A056}" name="Consulta - suc" description="Conexión a la consulta 'suc' en el libro." type="100" refreshedVersion="8" minRefreshableVersion="5">
    <extLst>
      <ext xmlns:x15="http://schemas.microsoft.com/office/spreadsheetml/2010/11/main" uri="{DE250136-89BD-433C-8126-D09CA5730AF9}">
        <x15:connection id="8d0fbb6f-465d-4cc3-9aa4-1cd2f73ca07e"/>
      </ext>
    </extLst>
  </connection>
  <connection id="6" xr16:uid="{8C2AD55F-3169-4171-AA42-966D6271F506}" name="Consulta - tmov" description="Conexión a la consulta 'tmov' en el libro." type="100" refreshedVersion="8" minRefreshableVersion="5">
    <extLst>
      <ext xmlns:x15="http://schemas.microsoft.com/office/spreadsheetml/2010/11/main" uri="{DE250136-89BD-433C-8126-D09CA5730AF9}">
        <x15:connection id="2e7afc23-7085-4612-acee-5c0d1d0a2ebf"/>
      </ext>
    </extLst>
  </connection>
  <connection id="7" xr16:uid="{487773C1-D733-4E6E-A89F-8737B8AEBA2A}" keepAlive="1" name="ThisWorkbookDataModel" description="Modelo de datos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MDX" minSupportedVersion="120000" copy="1" pasteAll="1" pasteValues="1" merge="1" splitFirst="1" rowColShift="1" clearFormats="1" clearComments="1" assign="1" coerce="1"/>
  </metadataTypes>
  <metadataStrings count="2">
    <s v="ThisWorkbookDataModel"/>
    <s v="{[hmov].[col_existencias].[All]}"/>
  </metadataStrings>
  <mdxMetadata count="1">
    <mdx n="0" f="s">
      <ms ns="1" c="0"/>
    </mdx>
  </mdxMetadata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<sst xmlns="http://schemas.openxmlformats.org/spreadsheetml/2006/main" count="125" uniqueCount="85">
  <si>
    <t>producto</t>
  </si>
  <si>
    <t>unidad</t>
  </si>
  <si>
    <t>pz</t>
  </si>
  <si>
    <t>tipo</t>
  </si>
  <si>
    <t>compra</t>
  </si>
  <si>
    <t>merma</t>
  </si>
  <si>
    <t>inout</t>
  </si>
  <si>
    <t>idprod</t>
  </si>
  <si>
    <t>idmov</t>
  </si>
  <si>
    <t>fecha</t>
  </si>
  <si>
    <t>costo</t>
  </si>
  <si>
    <t>cantidad</t>
  </si>
  <si>
    <t>idtipo</t>
  </si>
  <si>
    <t>costo_unitario</t>
  </si>
  <si>
    <t>idproducto</t>
  </si>
  <si>
    <t>sucursal</t>
  </si>
  <si>
    <t>area</t>
  </si>
  <si>
    <t>proveedor</t>
  </si>
  <si>
    <t>idarea</t>
  </si>
  <si>
    <t>idproveedor</t>
  </si>
  <si>
    <t>idsucursal</t>
  </si>
  <si>
    <t>lote</t>
  </si>
  <si>
    <t>tipo_mov</t>
  </si>
  <si>
    <t>existencia</t>
  </si>
  <si>
    <t>ultimo costo</t>
  </si>
  <si>
    <t>costo promedio</t>
  </si>
  <si>
    <t>ultima entrada</t>
  </si>
  <si>
    <t>fecha_cad</t>
  </si>
  <si>
    <t>Etiquetas de fila</t>
  </si>
  <si>
    <t>Total general</t>
  </si>
  <si>
    <t>existencias</t>
  </si>
  <si>
    <t>vida</t>
  </si>
  <si>
    <t>col_existencias</t>
  </si>
  <si>
    <t>cost</t>
  </si>
  <si>
    <t>fecha (mes)</t>
  </si>
  <si>
    <t>jun</t>
  </si>
  <si>
    <t>salCant</t>
  </si>
  <si>
    <t>salFrec</t>
  </si>
  <si>
    <t>traspaso</t>
  </si>
  <si>
    <t>a1</t>
  </si>
  <si>
    <t>a2</t>
  </si>
  <si>
    <t>leche</t>
  </si>
  <si>
    <t>huevo</t>
  </si>
  <si>
    <t>papa</t>
  </si>
  <si>
    <t>lacteos</t>
  </si>
  <si>
    <t>queso</t>
  </si>
  <si>
    <t>verduras</t>
  </si>
  <si>
    <t>pollo</t>
  </si>
  <si>
    <t>kg</t>
  </si>
  <si>
    <t>carniceria</t>
  </si>
  <si>
    <t>lomo cerdo</t>
  </si>
  <si>
    <t>supollo</t>
  </si>
  <si>
    <t>lala</t>
  </si>
  <si>
    <t>gallo</t>
  </si>
  <si>
    <t>santayana</t>
  </si>
  <si>
    <t>chapalita</t>
  </si>
  <si>
    <t>valle real</t>
  </si>
  <si>
    <t>puerco</t>
  </si>
  <si>
    <t>q01</t>
  </si>
  <si>
    <t>abastos</t>
  </si>
  <si>
    <t>papa1/06/2022</t>
  </si>
  <si>
    <t>papa5/6/22</t>
  </si>
  <si>
    <t>papa12/6/22</t>
  </si>
  <si>
    <t>papa20/6/22</t>
  </si>
  <si>
    <t>lomo8/6/22</t>
  </si>
  <si>
    <t>lomo18/6/22</t>
  </si>
  <si>
    <t>lomo28/6/22</t>
  </si>
  <si>
    <t>gallo30/6/22</t>
  </si>
  <si>
    <t>gallo6/7/22</t>
  </si>
  <si>
    <t>gallo15/7/22</t>
  </si>
  <si>
    <t>q002</t>
  </si>
  <si>
    <t>(en blanco)</t>
  </si>
  <si>
    <t>All</t>
  </si>
  <si>
    <t>existencias por area, producto y lote</t>
  </si>
  <si>
    <t>alertas de vida: colores y poder ordenar por más pasados</t>
  </si>
  <si>
    <t>share por area, producto y lote</t>
  </si>
  <si>
    <t>consumo en costo por sucursal, area, producto</t>
  </si>
  <si>
    <t>share sucursal</t>
  </si>
  <si>
    <t>share area sucursal</t>
  </si>
  <si>
    <t>share producto sucursal</t>
  </si>
  <si>
    <t>barra fecha</t>
  </si>
  <si>
    <t>consumo en costo por proveedor, area, producto</t>
  </si>
  <si>
    <t>share proveedor</t>
  </si>
  <si>
    <t>share area proveedor</t>
  </si>
  <si>
    <t>share producto proveedor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</si>
</sst>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-&quot;$&quot;* #,##0.00_-;\-&quot;$&quot;* #,##0.00_-;_-&quot;$&quot;* &quot;-&quot;??_-;_-@_-"/>
    <numFmt numFmtId="164" formatCode="\$#,##0.00;\-\$#,##0.00;\$#,##0.00"/>
  </numFmts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u/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 tint="0.7999816888943144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44" fontId="2" fillId="0" borderId="0" applyFont="0" applyFill="0" applyBorder="0" applyAlignment="0" applyProtection="0"/>
  </cellStyleXfs>
  <cellXfs count="21">
    <xf numFmtId="0" fontId="0" fillId="0" borderId="0" xfId="0"/>
    <xf numFmtId="0" fontId="0" fillId="2" borderId="0" xfId="0" applyFill="1"/>
    <xf numFmtId="0" fontId="1" fillId="3" borderId="0" xfId="0" applyFont="1" applyFill="1" applyAlignment="1">
      <alignment horizontal="center"/>
    </xf>
    <xf numFmtId="0" fontId="1" fillId="3" borderId="0" xfId="0" applyFont="1" applyFill="1" applyAlignment="1">
      <alignment horizontal="left"/>
    </xf>
    <xf numFmtId="0" fontId="0" fillId="4" borderId="0" xfId="0" applyFill="1" applyAlignment="1">
      <alignment horizontal="left"/>
    </xf>
    <xf numFmtId="14" fontId="0" fillId="2" borderId="0" xfId="0" applyNumberFormat="1" applyFill="1" applyAlignment="1">
      <alignment horizontal="left"/>
    </xf>
    <xf numFmtId="14" fontId="1" fillId="3" borderId="0" xfId="0" applyNumberFormat="1" applyFont="1" applyFill="1" applyAlignment="1">
      <alignment horizontal="left"/>
    </xf>
    <xf numFmtId="44" fontId="0" fillId="2" borderId="0" xfId="1" applyFont="1" applyFill="1"/>
    <xf numFmtId="14" fontId="0" fillId="2" borderId="0" xfId="0" applyNumberFormat="1" applyFill="1"/>
    <xf numFmtId="0" fontId="0" fillId="2" borderId="0" xfId="0" applyNumberFormat="1" applyFill="1"/>
    <xf numFmtId="44" fontId="0" fillId="2" borderId="0" xfId="1" applyNumberFormat="1" applyFont="1" applyFill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0" fillId="0" borderId="0" xfId="0" applyAlignment="1">
      <alignment horizontal="center"/>
    </xf>
    <xf numFmtId="0" fontId="0" fillId="0" borderId="0" xfId="0" applyNumberFormat="1" applyAlignment="1">
      <alignment horizontal="center"/>
    </xf>
    <xf numFmtId="164" fontId="0" fillId="0" borderId="0" xfId="0" applyNumberFormat="1" applyAlignment="1">
      <alignment horizontal="center"/>
    </xf>
    <xf numFmtId="0" fontId="4" fillId="0" borderId="0" xfId="0" applyFont="1"/>
    <xf numFmtId="0" fontId="5" fillId="0" borderId="0" xfId="0" applyFont="1" applyAlignment="1">
      <alignment horizontal="left"/>
    </xf>
    <xf numFmtId="0" fontId="5" fillId="0" borderId="0" xfId="0" applyNumberFormat="1" applyFont="1" applyAlignment="1">
      <alignment horizontal="center"/>
    </xf>
    <xf numFmtId="164" fontId="5" fillId="0" borderId="0" xfId="0" applyNumberFormat="1" applyFont="1" applyAlignment="1">
      <alignment horizontal="center"/>
    </xf>
  </cellXfs>
  <cellStyles count="2">
    <cellStyle name="Moneda" xfId="1" builtinId="4"/>
    <cellStyle name="Normal" xfId="0" builtinId="0"/>
  </cellStyles>
  <dxfs count="53">
    <dxf>
      <alignment horizontal="center"/>
    </dxf>
    <dxf>
      <alignment horizontal="center"/>
    </dxf>
    <dxf>
      <font>
        <sz val="14"/>
      </font>
    </dxf>
    <dxf>
      <alignment horizontal="center"/>
    </dxf>
    <dxf>
      <alignment horizontal="center"/>
    </dxf>
    <dxf>
      <font>
        <sz val="14"/>
      </font>
    </dxf>
    <dxf>
      <alignment horizontal="center"/>
    </dxf>
    <dxf>
      <alignment horizontal="center"/>
    </dxf>
    <dxf>
      <font>
        <sz val="14"/>
      </font>
    </dxf>
    <dxf>
      <alignment horizontal="center"/>
    </dxf>
    <dxf>
      <alignment horizontal="center"/>
    </dxf>
    <dxf>
      <font>
        <sz val="14"/>
      </font>
    </dxf>
    <dxf>
      <alignment horizontal="center"/>
    </dxf>
    <dxf>
      <alignment horizontal="center"/>
    </dxf>
    <dxf>
      <font>
        <sz val="14"/>
      </font>
    </dxf>
    <dxf>
      <alignment horizontal="center"/>
    </dxf>
    <dxf>
      <alignment horizontal="center"/>
    </dxf>
    <dxf>
      <font>
        <sz val="14"/>
      </font>
    </dxf>
    <dxf>
      <font>
        <sz val="16"/>
      </font>
    </dxf>
    <dxf>
      <font>
        <sz val="14"/>
      </font>
    </dxf>
    <dxf>
      <font>
        <sz val="14"/>
      </font>
    </dxf>
    <dxf>
      <font>
        <sz val="12"/>
      </font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</dxf>
    <dxf>
      <numFmt numFmtId="19" formatCode="dd/mm/yyyy"/>
      <fill>
        <patternFill patternType="solid">
          <fgColor indexed="64"/>
          <bgColor theme="0" tint="-4.9989318521683403E-2"/>
        </patternFill>
      </fill>
    </dxf>
    <dxf>
      <numFmt numFmtId="34" formatCode="_-&quot;$&quot;* #,##0.00_-;\-&quot;$&quot;* #,##0.00_-;_-&quot;$&quot;* &quot;-&quot;??_-;_-@_-"/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</dxf>
    <dxf>
      <numFmt numFmtId="0" formatCode="General"/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</dxf>
    <dxf>
      <alignment horizontal="center"/>
    </dxf>
    <dxf>
      <alignment horizontal="center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pivotCacheDefinition" Target="pivotCache/pivotCacheDefinition2.xml"/><Relationship Id="rId18" Type="http://schemas.openxmlformats.org/officeDocument/2006/relationships/sheetMetadata" Target="metadata.xml"/><Relationship Id="rId26" Type="http://schemas.openxmlformats.org/officeDocument/2006/relationships/customXml" Target="../customXml/item6.xml"/><Relationship Id="rId39" Type="http://schemas.openxmlformats.org/officeDocument/2006/relationships/customXml" Target="../customXml/item19.xml"/><Relationship Id="rId21" Type="http://schemas.openxmlformats.org/officeDocument/2006/relationships/customXml" Target="../customXml/item1.xml"/><Relationship Id="rId34" Type="http://schemas.openxmlformats.org/officeDocument/2006/relationships/customXml" Target="../customXml/item14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openxmlformats.org/officeDocument/2006/relationships/calcChain" Target="calcChain.xml"/><Relationship Id="rId29" Type="http://schemas.openxmlformats.org/officeDocument/2006/relationships/customXml" Target="../customXml/item9.xml"/><Relationship Id="rId41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4.xml"/><Relationship Id="rId32" Type="http://schemas.openxmlformats.org/officeDocument/2006/relationships/customXml" Target="../customXml/item12.xml"/><Relationship Id="rId37" Type="http://schemas.openxmlformats.org/officeDocument/2006/relationships/customXml" Target="../customXml/item17.xml"/><Relationship Id="rId40" Type="http://schemas.openxmlformats.org/officeDocument/2006/relationships/customXml" Target="../customXml/item20.xml"/><Relationship Id="rId5" Type="http://schemas.openxmlformats.org/officeDocument/2006/relationships/worksheet" Target="worksheets/sheet5.xml"/><Relationship Id="rId15" Type="http://schemas.openxmlformats.org/officeDocument/2006/relationships/connections" Target="connections.xml"/><Relationship Id="rId23" Type="http://schemas.openxmlformats.org/officeDocument/2006/relationships/customXml" Target="../customXml/item3.xml"/><Relationship Id="rId28" Type="http://schemas.openxmlformats.org/officeDocument/2006/relationships/customXml" Target="../customXml/item8.xml"/><Relationship Id="rId36" Type="http://schemas.openxmlformats.org/officeDocument/2006/relationships/customXml" Target="../customXml/item16.xml"/><Relationship Id="rId10" Type="http://schemas.openxmlformats.org/officeDocument/2006/relationships/worksheet" Target="worksheets/sheet10.xml"/><Relationship Id="rId19" Type="http://schemas.openxmlformats.org/officeDocument/2006/relationships/powerPivotData" Target="model/item.data"/><Relationship Id="rId31" Type="http://schemas.openxmlformats.org/officeDocument/2006/relationships/customXml" Target="../customXml/item1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Relationship Id="rId22" Type="http://schemas.openxmlformats.org/officeDocument/2006/relationships/customXml" Target="../customXml/item2.xml"/><Relationship Id="rId27" Type="http://schemas.openxmlformats.org/officeDocument/2006/relationships/customXml" Target="../customXml/item7.xml"/><Relationship Id="rId30" Type="http://schemas.openxmlformats.org/officeDocument/2006/relationships/customXml" Target="../customXml/item10.xml"/><Relationship Id="rId35" Type="http://schemas.openxmlformats.org/officeDocument/2006/relationships/customXml" Target="../customXml/item15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pivotCacheDefinition" Target="pivotCache/pivotCacheDefinition1.xml"/><Relationship Id="rId17" Type="http://schemas.openxmlformats.org/officeDocument/2006/relationships/sharedStrings" Target="sharedStrings.xml"/><Relationship Id="rId25" Type="http://schemas.openxmlformats.org/officeDocument/2006/relationships/customXml" Target="../customXml/item5.xml"/><Relationship Id="rId33" Type="http://schemas.openxmlformats.org/officeDocument/2006/relationships/customXml" Target="../customXml/item13.xml"/><Relationship Id="rId38" Type="http://schemas.openxmlformats.org/officeDocument/2006/relationships/customXml" Target="../customXml/item18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161925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2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Guardar</a:t>
              </a:r>
            </a:p>
          </xdr:txBody>
        </xdr:sp>
        <xdr:clientData fPrintsWithSheet="0"/>
      </xdr:twoCellAnchor>
    </mc:Choice>
    <mc:Fallback/>
  </mc:AlternateContent>
</xdr:wsDr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Pablo Fuentes" refreshedDate="44739.013356134259" backgroundQuery="1" createdVersion="8" refreshedVersion="8" minRefreshableVersion="3" recordCount="0" supportSubquery="1" supportAdvancedDrill="1" xr:uid="{D216B360-082C-4D54-8C43-5AA6B6DBFD4B}">
  <cacheSource type="external" connectionId="7"/>
  <cacheFields count="5">
    <cacheField name="[suc].[sucursal].[sucursal]" caption="sucursal" numFmtId="0" hierarchy="25" level="1">
      <sharedItems containsBlank="1" count="2">
        <m/>
        <s v="santayana"/>
      </sharedItems>
    </cacheField>
    <cacheField name="[Measures].[salCant]" caption="salCant" numFmtId="0" hierarchy="36" level="32767"/>
    <cacheField name="[Measures].[salFrec]" caption="salFrec" numFmtId="0" hierarchy="37" level="32767"/>
    <cacheField name="[hmov].[fecha (mes)].[fecha (mes)]" caption="fecha (mes)" numFmtId="0" hierarchy="14" level="1">
      <sharedItems count="1">
        <s v="jun"/>
      </sharedItems>
    </cacheField>
    <cacheField name="[prod].[area].[area]" caption="area" numFmtId="0" hierarchy="17" level="1">
      <sharedItems count="3">
        <s v="carniceria"/>
        <s v="lacteos"/>
        <s v="verduras"/>
      </sharedItems>
    </cacheField>
  </cacheFields>
  <cacheHierarchies count="45">
    <cacheHierarchy uniqueName="[area].[area]" caption="area" attribute="1" defaultMemberUniqueName="[area].[area].[All]" allUniqueName="[area].[area].[All]" dimensionUniqueName="[area]" displayFolder="" count="0" memberValueDatatype="130" unbalanced="0"/>
    <cacheHierarchy uniqueName="[area].[idarea]" caption="idarea" attribute="1" defaultMemberUniqueName="[area].[idarea].[All]" allUniqueName="[area].[idarea].[All]" dimensionUniqueName="[area]" displayFolder="" count="0" memberValueDatatype="20" unbalanced="0"/>
    <cacheHierarchy uniqueName="[hmov].[fecha]" caption="fecha" attribute="1" time="1" defaultMemberUniqueName="[hmov].[fecha].[All]" allUniqueName="[hmov].[fecha].[All]" dimensionUniqueName="[hmov]" displayFolder="" count="0" memberValueDatatype="7" unbalanced="0"/>
    <cacheHierarchy uniqueName="[hmov].[idmov]" caption="idmov" attribute="1" defaultMemberUniqueName="[hmov].[idmov].[All]" allUniqueName="[hmov].[idmov].[All]" dimensionUniqueName="[hmov]" displayFolder="" count="0" memberValueDatatype="20" unbalanced="0"/>
    <cacheHierarchy uniqueName="[hmov].[idtipo]" caption="idtipo" attribute="1" defaultMemberUniqueName="[hmov].[idtipo].[All]" allUniqueName="[hmov].[idtipo].[All]" dimensionUniqueName="[hmov]" displayFolder="" count="0" memberValueDatatype="20" unbalanced="0"/>
    <cacheHierarchy uniqueName="[hmov].[inout]" caption="inout" attribute="1" defaultMemberUniqueName="[hmov].[inout].[All]" allUniqueName="[hmov].[inout].[All]" dimensionUniqueName="[hmov]" displayFolder="" count="0" memberValueDatatype="20" unbalanced="0"/>
    <cacheHierarchy uniqueName="[hmov].[idsucursal]" caption="idsucursal" attribute="1" defaultMemberUniqueName="[hmov].[idsucursal].[All]" allUniqueName="[hmov].[idsucursal].[All]" dimensionUniqueName="[hmov]" displayFolder="" count="0" memberValueDatatype="20" unbalanced="0"/>
    <cacheHierarchy uniqueName="[hmov].[idproveedor]" caption="idproveedor" attribute="1" defaultMemberUniqueName="[hmov].[idproveedor].[All]" allUniqueName="[hmov].[idproveedor].[All]" dimensionUniqueName="[hmov]" displayFolder="" count="0" memberValueDatatype="20" unbalanced="0"/>
    <cacheHierarchy uniqueName="[hmov].[idproducto]" caption="idproducto" attribute="1" defaultMemberUniqueName="[hmov].[idproducto].[All]" allUniqueName="[hmov].[idproducto].[All]" dimensionUniqueName="[hmov]" displayFolder="" count="0" memberValueDatatype="20" unbalanced="0"/>
    <cacheHierarchy uniqueName="[hmov].[cantidad]" caption="cantidad" attribute="1" defaultMemberUniqueName="[hmov].[cantidad].[All]" allUniqueName="[hmov].[cantidad].[All]" dimensionUniqueName="[hmov]" displayFolder="" count="0" memberValueDatatype="20" unbalanced="0"/>
    <cacheHierarchy uniqueName="[hmov].[costo]" caption="costo" attribute="1" defaultMemberUniqueName="[hmov].[costo].[All]" allUniqueName="[hmov].[costo].[All]" dimensionUniqueName="[hmov]" displayFolder="" count="0" memberValueDatatype="20" unbalanced="0"/>
    <cacheHierarchy uniqueName="[hmov].[lote]" caption="lote" attribute="1" defaultMemberUniqueName="[hmov].[lote].[All]" allUniqueName="[hmov].[lote].[All]" dimensionUniqueName="[hmov]" displayFolder="" count="0" memberValueDatatype="130" unbalanced="0"/>
    <cacheHierarchy uniqueName="[hmov].[fecha_cad]" caption="fecha_cad" attribute="1" time="1" defaultMemberUniqueName="[hmov].[fecha_cad].[All]" allUniqueName="[hmov].[fecha_cad].[All]" dimensionUniqueName="[hmov]" displayFolder="" count="0" memberValueDatatype="7" unbalanced="0"/>
    <cacheHierarchy uniqueName="[hmov].[col_existencias]" caption="col_existencias" attribute="1" defaultMemberUniqueName="[hmov].[col_existencias].[All]" allUniqueName="[hmov].[col_existencias].[All]" dimensionUniqueName="[hmov]" displayFolder="" count="0" memberValueDatatype="20" unbalanced="0"/>
    <cacheHierarchy uniqueName="[hmov].[fecha (mes)]" caption="fecha (mes)" attribute="1" defaultMemberUniqueName="[hmov].[fecha (mes)].[All]" allUniqueName="[hmov].[fecha (mes)].[All]" dimensionUniqueName="[hmov]" displayFolder="" count="2" memberValueDatatype="130" unbalanced="0">
      <fieldsUsage count="2">
        <fieldUsage x="-1"/>
        <fieldUsage x="3"/>
      </fieldsUsage>
    </cacheHierarchy>
    <cacheHierarchy uniqueName="[prod].[producto]" caption="producto" attribute="1" defaultMemberUniqueName="[prod].[producto].[All]" allUniqueName="[prod].[producto].[All]" dimensionUniqueName="[prod]" displayFolder="" count="0" memberValueDatatype="130" unbalanced="0"/>
    <cacheHierarchy uniqueName="[prod].[unidad]" caption="unidad" attribute="1" defaultMemberUniqueName="[prod].[unidad].[All]" allUniqueName="[prod].[unidad].[All]" dimensionUniqueName="[prod]" displayFolder="" count="0" memberValueDatatype="130" unbalanced="0"/>
    <cacheHierarchy uniqueName="[prod].[area]" caption="area" attribute="1" defaultMemberUniqueName="[prod].[area].[All]" allUniqueName="[prod].[area].[All]" dimensionUniqueName="[prod]" displayFolder="" count="2" memberValueDatatype="130" unbalanced="0">
      <fieldsUsage count="2">
        <fieldUsage x="-1"/>
        <fieldUsage x="4"/>
      </fieldsUsage>
    </cacheHierarchy>
    <cacheHierarchy uniqueName="[prod].[idprod]" caption="idprod" attribute="1" defaultMemberUniqueName="[prod].[idprod].[All]" allUniqueName="[prod].[idprod].[All]" dimensionUniqueName="[prod]" displayFolder="" count="0" memberValueDatatype="130" unbalanced="0"/>
    <cacheHierarchy uniqueName="[prod].[existencia]" caption="existencia" attribute="1" defaultMemberUniqueName="[prod].[existencia].[All]" allUniqueName="[prod].[existencia].[All]" dimensionUniqueName="[prod]" displayFolder="" count="0" memberValueDatatype="130" unbalanced="0"/>
    <cacheHierarchy uniqueName="[prod].[ultimo costo]" caption="ultimo costo" attribute="1" defaultMemberUniqueName="[prod].[ultimo costo].[All]" allUniqueName="[prod].[ultimo costo].[All]" dimensionUniqueName="[prod]" displayFolder="" count="0" memberValueDatatype="130" unbalanced="0"/>
    <cacheHierarchy uniqueName="[prod].[costo promedio]" caption="costo promedio" attribute="1" defaultMemberUniqueName="[prod].[costo promedio].[All]" allUniqueName="[prod].[costo promedio].[All]" dimensionUniqueName="[prod]" displayFolder="" count="0" memberValueDatatype="130" unbalanced="0"/>
    <cacheHierarchy uniqueName="[prod].[ultima entrada]" caption="ultima entrada" attribute="1" defaultMemberUniqueName="[prod].[ultima entrada].[All]" allUniqueName="[prod].[ultima entrada].[All]" dimensionUniqueName="[prod]" displayFolder="" count="0" memberValueDatatype="130" unbalanced="0"/>
    <cacheHierarchy uniqueName="[prov].[proveedor]" caption="proveedor" attribute="1" defaultMemberUniqueName="[prov].[proveedor].[All]" allUniqueName="[prov].[proveedor].[All]" dimensionUniqueName="[prov]" displayFolder="" count="0" memberValueDatatype="130" unbalanced="0"/>
    <cacheHierarchy uniqueName="[prov].[idproveedor]" caption="idproveedor" attribute="1" defaultMemberUniqueName="[prov].[idproveedor].[All]" allUniqueName="[prov].[idproveedor].[All]" dimensionUniqueName="[prov]" displayFolder="" count="0" memberValueDatatype="20" unbalanced="0"/>
    <cacheHierarchy uniqueName="[suc].[sucursal]" caption="sucursal" attribute="1" defaultMemberUniqueName="[suc].[sucursal].[All]" allUniqueName="[suc].[sucursal].[All]" dimensionUniqueName="[suc]" displayFolder="" count="2" memberValueDatatype="130" unbalanced="0">
      <fieldsUsage count="2">
        <fieldUsage x="-1"/>
        <fieldUsage x="0"/>
      </fieldsUsage>
    </cacheHierarchy>
    <cacheHierarchy uniqueName="[suc].[idsucursal]" caption="idsucursal" attribute="1" defaultMemberUniqueName="[suc].[idsucursal].[All]" allUniqueName="[suc].[idsucursal].[All]" dimensionUniqueName="[suc]" displayFolder="" count="0" memberValueDatatype="20" unbalanced="0"/>
    <cacheHierarchy uniqueName="[tmov].[tipo]" caption="tipo" attribute="1" defaultMemberUniqueName="[tmov].[tipo].[All]" allUniqueName="[tmov].[tipo].[All]" dimensionUniqueName="[tmov]" displayFolder="" count="0" memberValueDatatype="130" unbalanced="0"/>
    <cacheHierarchy uniqueName="[tmov].[inout]" caption="inout" attribute="1" defaultMemberUniqueName="[tmov].[inout].[All]" allUniqueName="[tmov].[inout].[All]" dimensionUniqueName="[tmov]" displayFolder="" count="0" memberValueDatatype="20" unbalanced="0"/>
    <cacheHierarchy uniqueName="[tmov].[idtipo]" caption="idtipo" attribute="1" defaultMemberUniqueName="[tmov].[idtipo].[All]" allUniqueName="[tmov].[idtipo].[All]" dimensionUniqueName="[tmov]" displayFolder="" count="0" memberValueDatatype="20" unbalanced="0"/>
    <cacheHierarchy uniqueName="[hmov].[fecha (índice de meses)]" caption="fecha (índice de meses)" attribute="1" defaultMemberUniqueName="[hmov].[fecha (índice de meses)].[All]" allUniqueName="[hmov].[fecha (índice de meses)].[All]" dimensionUniqueName="[hmov]" displayFolder="" count="0" memberValueDatatype="20" unbalanced="0" hidden="1"/>
    <cacheHierarchy uniqueName="[Measures].[Recuento de existencia]" caption="Recuento de existencia" measure="1" displayFolder="" measureGroup="prod" count="0"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Suma de col_existencias]" caption="Suma de col_existencias" measure="1" displayFolder="" measureGroup="hmov" count="0">
      <extLst>
        <ext xmlns:x15="http://schemas.microsoft.com/office/spreadsheetml/2010/11/main" uri="{B97F6D7D-B522-45F9-BDA1-12C45D357490}">
          <x15:cacheHierarchy aggregatedColumn="13"/>
        </ext>
      </extLst>
    </cacheHierarchy>
    <cacheHierarchy uniqueName="[Measures].[existencias]" caption="existencias" measure="1" displayFolder="" measureGroup="hmov" count="0"/>
    <cacheHierarchy uniqueName="[Measures].[vida]" caption="vida" measure="1" displayFolder="" measureGroup="hmov" count="0"/>
    <cacheHierarchy uniqueName="[Measures].[cost]" caption="cost" measure="1" displayFolder="" measureGroup="hmov" count="0"/>
    <cacheHierarchy uniqueName="[Measures].[salCant]" caption="salCant" measure="1" displayFolder="" measureGroup="hmov" count="0" oneField="1">
      <fieldsUsage count="1">
        <fieldUsage x="1"/>
      </fieldsUsage>
    </cacheHierarchy>
    <cacheHierarchy uniqueName="[Measures].[salFrec]" caption="salFrec" measure="1" displayFolder="" measureGroup="hmov" count="0" oneField="1">
      <fieldsUsage count="1">
        <fieldUsage x="2"/>
      </fieldsUsage>
    </cacheHierarchy>
    <cacheHierarchy uniqueName="[Measures].[__XL_Count hmov]" caption="__XL_Count hmov" measure="1" displayFolder="" measureGroup="hmov" count="0" hidden="1"/>
    <cacheHierarchy uniqueName="[Measures].[__XL_Count prod]" caption="__XL_Count prod" measure="1" displayFolder="" measureGroup="prod" count="0" hidden="1"/>
    <cacheHierarchy uniqueName="[Measures].[__XL_Count prov]" caption="__XL_Count prov" measure="1" displayFolder="" measureGroup="prov" count="0" hidden="1"/>
    <cacheHierarchy uniqueName="[Measures].[__XL_Count suc]" caption="__XL_Count suc" measure="1" displayFolder="" measureGroup="suc" count="0" hidden="1"/>
    <cacheHierarchy uniqueName="[Measures].[__XL_Count tmov]" caption="__XL_Count tmov" measure="1" displayFolder="" measureGroup="tmov" count="0" hidden="1"/>
    <cacheHierarchy uniqueName="[Measures].[__XL_Count area]" caption="__XL_Count area" measure="1" displayFolder="" measureGroup="area" count="0" hidden="1"/>
    <cacheHierarchy uniqueName="[Measures].[__No measures defined]" caption="__No measures defined" measure="1" displayFolder="" count="0" hidden="1"/>
  </cacheHierarchies>
  <kpis count="0"/>
  <dimensions count="7">
    <dimension name="area" uniqueName="[area]" caption="area"/>
    <dimension name="hmov" uniqueName="[hmov]" caption="hmov"/>
    <dimension measure="1" name="Measures" uniqueName="[Measures]" caption="Measures"/>
    <dimension name="prod" uniqueName="[prod]" caption="prod"/>
    <dimension name="prov" uniqueName="[prov]" caption="prov"/>
    <dimension name="suc" uniqueName="[suc]" caption="suc"/>
    <dimension name="tmov" uniqueName="[tmov]" caption="tmov"/>
  </dimensions>
  <measureGroups count="6">
    <measureGroup name="area" caption="area"/>
    <measureGroup name="hmov" caption="hmov"/>
    <measureGroup name="prod" caption="prod"/>
    <measureGroup name="prov" caption="prov"/>
    <measureGroup name="suc" caption="suc"/>
    <measureGroup name="tmov" caption="tmov"/>
  </measureGroups>
  <maps count="10">
    <map measureGroup="0" dimension="0"/>
    <map measureGroup="1" dimension="1"/>
    <map measureGroup="1" dimension="3"/>
    <map measureGroup="1" dimension="4"/>
    <map measureGroup="1" dimension="5"/>
    <map measureGroup="1" dimension="6"/>
    <map measureGroup="2" dimension="3"/>
    <map measureGroup="3" dimension="4"/>
    <map measureGroup="4" dimension="5"/>
    <map measureGroup="5" dimension="6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Pablo Fuentes" refreshedDate="44739.029555439818" backgroundQuery="1" createdVersion="8" refreshedVersion="8" minRefreshableVersion="3" recordCount="0" supportSubquery="1" supportAdvancedDrill="1" xr:uid="{6D5351C8-40FD-4E9A-9FC7-E22479CB9835}">
  <cacheSource type="external" connectionId="7"/>
  <cacheFields count="7">
    <cacheField name="[prod].[producto].[producto]" caption="producto" numFmtId="0" hierarchy="15" level="1">
      <sharedItems containsNonDate="0" count="3">
        <s v="huevo"/>
        <s v="leche"/>
        <s v="queso"/>
      </sharedItems>
    </cacheField>
    <cacheField name="[hmov].[lote].[lote]" caption="lote" numFmtId="0" hierarchy="11" level="1">
      <sharedItems containsNonDate="0" count="3">
        <s v="gallo15/7/22"/>
        <s v="gallo30/6/22"/>
        <s v="gallo6/7/22"/>
      </sharedItems>
    </cacheField>
    <cacheField name="[Measures].[vida]" caption="vida" numFmtId="0" hierarchy="34" level="32767"/>
    <cacheField name="[hmov].[col_existencias].[col_existencias]" caption="col_existencias" numFmtId="0" hierarchy="13" level="1">
      <sharedItems containsSemiMixedTypes="0" containsNonDate="0" containsString="0"/>
    </cacheField>
    <cacheField name="[Measures].[cost]" caption="cost" numFmtId="0" hierarchy="35" level="32767"/>
    <cacheField name="[prod].[area].[area]" caption="area" numFmtId="0" hierarchy="17" level="1">
      <sharedItems count="3">
        <s v="carniceria"/>
        <s v="lacteos"/>
        <s v="verduras"/>
      </sharedItems>
    </cacheField>
    <cacheField name="[Measures].[existencias]" caption="existencias" numFmtId="0" hierarchy="33" level="32767"/>
  </cacheFields>
  <cacheHierarchies count="45">
    <cacheHierarchy uniqueName="[area].[area]" caption="area" attribute="1" defaultMemberUniqueName="[area].[area].[All]" allUniqueName="[area].[area].[All]" dimensionUniqueName="[area]" displayFolder="" count="2" memberValueDatatype="130" unbalanced="0"/>
    <cacheHierarchy uniqueName="[area].[idarea]" caption="idarea" attribute="1" defaultMemberUniqueName="[area].[idarea].[All]" allUniqueName="[area].[idarea].[All]" dimensionUniqueName="[area]" displayFolder="" count="2" memberValueDatatype="20" unbalanced="0"/>
    <cacheHierarchy uniqueName="[hmov].[fecha]" caption="fecha" attribute="1" time="1" defaultMemberUniqueName="[hmov].[fecha].[All]" allUniqueName="[hmov].[fecha].[All]" dimensionUniqueName="[hmov]" displayFolder="" count="2" memberValueDatatype="7" unbalanced="0"/>
    <cacheHierarchy uniqueName="[hmov].[idmov]" caption="idmov" attribute="1" defaultMemberUniqueName="[hmov].[idmov].[All]" allUniqueName="[hmov].[idmov].[All]" dimensionUniqueName="[hmov]" displayFolder="" count="2" memberValueDatatype="20" unbalanced="0"/>
    <cacheHierarchy uniqueName="[hmov].[idtipo]" caption="idtipo" attribute="1" defaultMemberUniqueName="[hmov].[idtipo].[All]" allUniqueName="[hmov].[idtipo].[All]" dimensionUniqueName="[hmov]" displayFolder="" count="2" memberValueDatatype="20" unbalanced="0"/>
    <cacheHierarchy uniqueName="[hmov].[inout]" caption="inout" attribute="1" defaultMemberUniqueName="[hmov].[inout].[All]" allUniqueName="[hmov].[inout].[All]" dimensionUniqueName="[hmov]" displayFolder="" count="2" memberValueDatatype="20" unbalanced="0"/>
    <cacheHierarchy uniqueName="[hmov].[idsucursal]" caption="idsucursal" attribute="1" defaultMemberUniqueName="[hmov].[idsucursal].[All]" allUniqueName="[hmov].[idsucursal].[All]" dimensionUniqueName="[hmov]" displayFolder="" count="2" memberValueDatatype="20" unbalanced="0"/>
    <cacheHierarchy uniqueName="[hmov].[idproveedor]" caption="idproveedor" attribute="1" defaultMemberUniqueName="[hmov].[idproveedor].[All]" allUniqueName="[hmov].[idproveedor].[All]" dimensionUniqueName="[hmov]" displayFolder="" count="2" memberValueDatatype="20" unbalanced="0"/>
    <cacheHierarchy uniqueName="[hmov].[idproducto]" caption="idproducto" attribute="1" defaultMemberUniqueName="[hmov].[idproducto].[All]" allUniqueName="[hmov].[idproducto].[All]" dimensionUniqueName="[hmov]" displayFolder="" count="2" memberValueDatatype="20" unbalanced="0"/>
    <cacheHierarchy uniqueName="[hmov].[cantidad]" caption="cantidad" attribute="1" defaultMemberUniqueName="[hmov].[cantidad].[All]" allUniqueName="[hmov].[cantidad].[All]" dimensionUniqueName="[hmov]" displayFolder="" count="2" memberValueDatatype="20" unbalanced="0"/>
    <cacheHierarchy uniqueName="[hmov].[costo]" caption="costo" attribute="1" defaultMemberUniqueName="[hmov].[costo].[All]" allUniqueName="[hmov].[costo].[All]" dimensionUniqueName="[hmov]" displayFolder="" count="2" memberValueDatatype="20" unbalanced="0"/>
    <cacheHierarchy uniqueName="[hmov].[lote]" caption="lote" attribute="1" defaultMemberUniqueName="[hmov].[lote].[All]" allUniqueName="[hmov].[lote].[All]" dimensionUniqueName="[hmov]" displayFolder="" count="2" memberValueDatatype="130" unbalanced="0">
      <fieldsUsage count="2">
        <fieldUsage x="-1"/>
        <fieldUsage x="1"/>
      </fieldsUsage>
    </cacheHierarchy>
    <cacheHierarchy uniqueName="[hmov].[fecha_cad]" caption="fecha_cad" attribute="1" time="1" defaultMemberUniqueName="[hmov].[fecha_cad].[All]" allUniqueName="[hmov].[fecha_cad].[All]" dimensionUniqueName="[hmov]" displayFolder="" count="2" memberValueDatatype="7" unbalanced="0"/>
    <cacheHierarchy uniqueName="[hmov].[col_existencias]" caption="col_existencias" attribute="1" defaultMemberUniqueName="[hmov].[col_existencias].[All]" allUniqueName="[hmov].[col_existencias].[All]" dimensionUniqueName="[hmov]" displayFolder="" count="2" memberValueDatatype="20" unbalanced="0">
      <fieldsUsage count="2">
        <fieldUsage x="-1"/>
        <fieldUsage x="3"/>
      </fieldsUsage>
    </cacheHierarchy>
    <cacheHierarchy uniqueName="[hmov].[fecha (mes)]" caption="fecha (mes)" attribute="1" defaultMemberUniqueName="[hmov].[fecha (mes)].[All]" allUniqueName="[hmov].[fecha (mes)].[All]" dimensionUniqueName="[hmov]" displayFolder="" count="2" memberValueDatatype="130" unbalanced="0"/>
    <cacheHierarchy uniqueName="[prod].[producto]" caption="producto" attribute="1" defaultMemberUniqueName="[prod].[producto].[All]" allUniqueName="[prod].[producto].[All]" dimensionUniqueName="[prod]" displayFolder="" count="2" memberValueDatatype="130" unbalanced="0">
      <fieldsUsage count="2">
        <fieldUsage x="-1"/>
        <fieldUsage x="0"/>
      </fieldsUsage>
    </cacheHierarchy>
    <cacheHierarchy uniqueName="[prod].[unidad]" caption="unidad" attribute="1" defaultMemberUniqueName="[prod].[unidad].[All]" allUniqueName="[prod].[unidad].[All]" dimensionUniqueName="[prod]" displayFolder="" count="2" memberValueDatatype="130" unbalanced="0"/>
    <cacheHierarchy uniqueName="[prod].[area]" caption="area" attribute="1" defaultMemberUniqueName="[prod].[area].[All]" allUniqueName="[prod].[area].[All]" dimensionUniqueName="[prod]" displayFolder="" count="2" memberValueDatatype="130" unbalanced="0">
      <fieldsUsage count="2">
        <fieldUsage x="-1"/>
        <fieldUsage x="5"/>
      </fieldsUsage>
    </cacheHierarchy>
    <cacheHierarchy uniqueName="[prod].[idprod]" caption="idprod" attribute="1" defaultMemberUniqueName="[prod].[idprod].[All]" allUniqueName="[prod].[idprod].[All]" dimensionUniqueName="[prod]" displayFolder="" count="2" memberValueDatatype="130" unbalanced="0"/>
    <cacheHierarchy uniqueName="[prod].[existencia]" caption="existencia" attribute="1" defaultMemberUniqueName="[prod].[existencia].[All]" allUniqueName="[prod].[existencia].[All]" dimensionUniqueName="[prod]" displayFolder="" count="2" memberValueDatatype="130" unbalanced="0"/>
    <cacheHierarchy uniqueName="[prod].[ultimo costo]" caption="ultimo costo" attribute="1" defaultMemberUniqueName="[prod].[ultimo costo].[All]" allUniqueName="[prod].[ultimo costo].[All]" dimensionUniqueName="[prod]" displayFolder="" count="2" memberValueDatatype="130" unbalanced="0"/>
    <cacheHierarchy uniqueName="[prod].[costo promedio]" caption="costo promedio" attribute="1" defaultMemberUniqueName="[prod].[costo promedio].[All]" allUniqueName="[prod].[costo promedio].[All]" dimensionUniqueName="[prod]" displayFolder="" count="2" memberValueDatatype="130" unbalanced="0"/>
    <cacheHierarchy uniqueName="[prod].[ultima entrada]" caption="ultima entrada" attribute="1" defaultMemberUniqueName="[prod].[ultima entrada].[All]" allUniqueName="[prod].[ultima entrada].[All]" dimensionUniqueName="[prod]" displayFolder="" count="2" memberValueDatatype="130" unbalanced="0"/>
    <cacheHierarchy uniqueName="[prov].[proveedor]" caption="proveedor" attribute="1" defaultMemberUniqueName="[prov].[proveedor].[All]" allUniqueName="[prov].[proveedor].[All]" dimensionUniqueName="[prov]" displayFolder="" count="2" memberValueDatatype="130" unbalanced="0"/>
    <cacheHierarchy uniqueName="[prov].[idproveedor]" caption="idproveedor" attribute="1" defaultMemberUniqueName="[prov].[idproveedor].[All]" allUniqueName="[prov].[idproveedor].[All]" dimensionUniqueName="[prov]" displayFolder="" count="2" memberValueDatatype="20" unbalanced="0"/>
    <cacheHierarchy uniqueName="[suc].[sucursal]" caption="sucursal" attribute="1" defaultMemberUniqueName="[suc].[sucursal].[All]" allUniqueName="[suc].[sucursal].[All]" dimensionUniqueName="[suc]" displayFolder="" count="2" memberValueDatatype="130" unbalanced="0"/>
    <cacheHierarchy uniqueName="[suc].[idsucursal]" caption="idsucursal" attribute="1" defaultMemberUniqueName="[suc].[idsucursal].[All]" allUniqueName="[suc].[idsucursal].[All]" dimensionUniqueName="[suc]" displayFolder="" count="2" memberValueDatatype="20" unbalanced="0"/>
    <cacheHierarchy uniqueName="[tmov].[tipo]" caption="tipo" attribute="1" defaultMemberUniqueName="[tmov].[tipo].[All]" allUniqueName="[tmov].[tipo].[All]" dimensionUniqueName="[tmov]" displayFolder="" count="2" memberValueDatatype="130" unbalanced="0"/>
    <cacheHierarchy uniqueName="[tmov].[inout]" caption="inout" attribute="1" defaultMemberUniqueName="[tmov].[inout].[All]" allUniqueName="[tmov].[inout].[All]" dimensionUniqueName="[tmov]" displayFolder="" count="2" memberValueDatatype="20" unbalanced="0"/>
    <cacheHierarchy uniqueName="[tmov].[idtipo]" caption="idtipo" attribute="1" defaultMemberUniqueName="[tmov].[idtipo].[All]" allUniqueName="[tmov].[idtipo].[All]" dimensionUniqueName="[tmov]" displayFolder="" count="2" memberValueDatatype="20" unbalanced="0"/>
    <cacheHierarchy uniqueName="[hmov].[fecha (índice de meses)]" caption="fecha (índice de meses)" attribute="1" defaultMemberUniqueName="[hmov].[fecha (índice de meses)].[All]" allUniqueName="[hmov].[fecha (índice de meses)].[All]" dimensionUniqueName="[hmov]" displayFolder="" count="2" memberValueDatatype="20" unbalanced="0" hidden="1"/>
    <cacheHierarchy uniqueName="[Measures].[Recuento de existencia]" caption="Recuento de existencia" measure="1" displayFolder="" measureGroup="prod" count="0"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Suma de col_existencias]" caption="Suma de col_existencias" measure="1" displayFolder="" measureGroup="hmov" count="0">
      <extLst>
        <ext xmlns:x15="http://schemas.microsoft.com/office/spreadsheetml/2010/11/main" uri="{B97F6D7D-B522-45F9-BDA1-12C45D357490}">
          <x15:cacheHierarchy aggregatedColumn="13"/>
        </ext>
      </extLst>
    </cacheHierarchy>
    <cacheHierarchy uniqueName="[Measures].[existencias]" caption="existencias" measure="1" displayFolder="" measureGroup="hmov" count="0" oneField="1">
      <fieldsUsage count="1">
        <fieldUsage x="6"/>
      </fieldsUsage>
    </cacheHierarchy>
    <cacheHierarchy uniqueName="[Measures].[vida]" caption="vida" measure="1" displayFolder="" measureGroup="hmov" count="0" oneField="1">
      <fieldsUsage count="1">
        <fieldUsage x="2"/>
      </fieldsUsage>
    </cacheHierarchy>
    <cacheHierarchy uniqueName="[Measures].[cost]" caption="cost" measure="1" displayFolder="" measureGroup="hmov" count="0" oneField="1">
      <fieldsUsage count="1">
        <fieldUsage x="4"/>
      </fieldsUsage>
    </cacheHierarchy>
    <cacheHierarchy uniqueName="[Measures].[salCant]" caption="salCant" measure="1" displayFolder="" measureGroup="hmov" count="0"/>
    <cacheHierarchy uniqueName="[Measures].[salFrec]" caption="salFrec" measure="1" displayFolder="" measureGroup="hmov" count="0"/>
    <cacheHierarchy uniqueName="[Measures].[__XL_Count hmov]" caption="__XL_Count hmov" measure="1" displayFolder="" measureGroup="hmov" count="0" hidden="1"/>
    <cacheHierarchy uniqueName="[Measures].[__XL_Count prod]" caption="__XL_Count prod" measure="1" displayFolder="" measureGroup="prod" count="0" hidden="1"/>
    <cacheHierarchy uniqueName="[Measures].[__XL_Count prov]" caption="__XL_Count prov" measure="1" displayFolder="" measureGroup="prov" count="0" hidden="1"/>
    <cacheHierarchy uniqueName="[Measures].[__XL_Count suc]" caption="__XL_Count suc" measure="1" displayFolder="" measureGroup="suc" count="0" hidden="1"/>
    <cacheHierarchy uniqueName="[Measures].[__XL_Count tmov]" caption="__XL_Count tmov" measure="1" displayFolder="" measureGroup="tmov" count="0" hidden="1"/>
    <cacheHierarchy uniqueName="[Measures].[__XL_Count area]" caption="__XL_Count area" measure="1" displayFolder="" measureGroup="area" count="0" hidden="1"/>
    <cacheHierarchy uniqueName="[Measures].[__No measures defined]" caption="__No measures defined" measure="1" displayFolder="" count="0" hidden="1"/>
  </cacheHierarchies>
  <kpis count="0"/>
  <dimensions count="7">
    <dimension name="area" uniqueName="[area]" caption="area"/>
    <dimension name="hmov" uniqueName="[hmov]" caption="hmov"/>
    <dimension measure="1" name="Measures" uniqueName="[Measures]" caption="Measures"/>
    <dimension name="prod" uniqueName="[prod]" caption="prod"/>
    <dimension name="prov" uniqueName="[prov]" caption="prov"/>
    <dimension name="suc" uniqueName="[suc]" caption="suc"/>
    <dimension name="tmov" uniqueName="[tmov]" caption="tmov"/>
  </dimensions>
  <measureGroups count="6">
    <measureGroup name="area" caption="area"/>
    <measureGroup name="hmov" caption="hmov"/>
    <measureGroup name="prod" caption="prod"/>
    <measureGroup name="prov" caption="prov"/>
    <measureGroup name="suc" caption="suc"/>
    <measureGroup name="tmov" caption="tmov"/>
  </measureGroups>
  <maps count="10">
    <map measureGroup="0" dimension="0"/>
    <map measureGroup="1" dimension="1"/>
    <map measureGroup="1" dimension="3"/>
    <map measureGroup="1" dimension="4"/>
    <map measureGroup="1" dimension="5"/>
    <map measureGroup="1" dimension="6"/>
    <map measureGroup="2" dimension="3"/>
    <map measureGroup="3" dimension="4"/>
    <map measureGroup="4" dimension="5"/>
    <map measureGroup="5" dimension="6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94120D-C432-4CFC-AAFD-48EBA516BB00}" name="TablaDinámica2" cacheId="254" applyNumberFormats="0" applyBorderFormats="0" applyFontFormats="0" applyPatternFormats="0" applyAlignmentFormats="0" applyWidthHeightFormats="1" dataCaption="Valores" tag="5915428a-92dc-4960-94dc-af5010548f29" updatedVersion="8" minRefreshableVersion="3" useAutoFormatting="1" subtotalHiddenItems="1" itemPrintTitles="1" createdVersion="8" indent="0" outline="1" outlineData="1" multipleFieldFilters="0">
  <location ref="A4:D8" firstHeaderRow="0" firstDataRow="1" firstDataCol="1" rowPageCount="1" colPageCount="1"/>
  <pivotFields count="7">
    <pivotField axis="axisRow" allDrilled="1" subtotalTop="0" showAll="0" dataSourceSort="1" defaultSubtotal="0" defaultAttributeDrillState="1">
      <items count="3">
        <item x="0" e="0"/>
        <item x="1" e="0"/>
        <item x="2" e="0"/>
      </items>
    </pivotField>
    <pivotField axis="axisRow" allDrilled="1" subtotalTop="0" showAll="0" dataSourceSort="1" defaultSubtotal="0" defaultAttributeDrillState="1">
      <items count="3">
        <item x="0"/>
        <item x="1"/>
        <item x="2"/>
      </items>
    </pivotField>
    <pivotField dataField="1" subtotalTop="0" showAll="0" defaultSubtotal="0"/>
    <pivotField axis="axisPage" allDrilled="1" subtotalTop="0" showAll="0" dataSourceSort="1" defaultSubtotal="0" defaultAttributeDrillState="1"/>
    <pivotField dataField="1" subtotalTop="0" showAll="0" defaultSubtotal="0"/>
    <pivotField axis="axisRow" allDrilled="1" subtotalTop="0" showAll="0" sortType="descending" defaultSubtotal="0" defaultAttributeDrillState="1">
      <items count="3">
        <item x="0" e="0"/>
        <item x="1" e="0"/>
        <item x="2" e="0"/>
      </items>
      <autoSortScope>
        <pivotArea dataOnly="0" outline="0" fieldPosition="0">
          <references count="1">
            <reference field="4294967294" count="1" selected="0">
              <x v="1"/>
            </reference>
          </references>
        </pivotArea>
      </autoSortScope>
    </pivotField>
    <pivotField dataField="1" subtotalTop="0" showAll="0" defaultSubtotal="0"/>
  </pivotFields>
  <rowFields count="3">
    <field x="5"/>
    <field x="0"/>
    <field x="1"/>
  </rowFields>
  <rowItems count="4">
    <i>
      <x v="1"/>
    </i>
    <i>
      <x/>
    </i>
    <i>
      <x v="2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1">
    <pageField fld="3" hier="13" name="[hmov].[col_existencias].[All]" cap="All"/>
  </pageFields>
  <dataFields count="3">
    <dataField fld="6" subtotal="count" baseField="0" baseItem="0"/>
    <dataField fld="4" subtotal="count" baseField="0" baseItem="0"/>
    <dataField fld="2" subtotal="count" baseField="0" baseItem="0"/>
  </dataFields>
  <formats count="3">
    <format dxfId="52">
      <pivotArea outline="0" collapsedLevelsAreSubtotals="1" fieldPosition="0"/>
    </format>
    <format dxfId="51">
      <pivotArea dataOnly="0" labelOnly="1" outline="0" fieldPosition="0">
        <references count="1">
          <reference field="4294967294" count="2">
            <x v="1"/>
            <x v="2"/>
          </reference>
        </references>
      </pivotArea>
    </format>
    <format dxfId="19">
      <pivotArea dataOnly="0" grandRow="1" fieldPosition="0"/>
    </format>
  </formats>
  <pivotHierarchies count="45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rowHierarchiesUsage count="3">
    <rowHierarchyUsage hierarchyUsage="17"/>
    <rowHierarchyUsage hierarchyUsage="15"/>
    <rowHierarchyUsage hierarchyUsage="11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prod]"/>
        <x15:activeTabTopLevelEntity name="[hmov]"/>
        <x15:activeTabTopLevelEntity name="[area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E953119-608D-4D53-84E5-0B5A22C7DBCE}" name="TablaDinámica1" cacheId="172" applyNumberFormats="0" applyBorderFormats="0" applyFontFormats="0" applyPatternFormats="0" applyAlignmentFormats="0" applyWidthHeightFormats="1" dataCaption="Valores" tag="67fbd0ca-7456-4051-903b-40af6c8d93ec" updatedVersion="8" minRefreshableVersion="3" useAutoFormatting="1" itemPrintTitles="1" createdVersion="8" indent="0" compact="0" compactData="0" multipleFieldFilters="0">
  <location ref="A3:E8" firstHeaderRow="0" firstDataRow="1" firstDataCol="3"/>
  <pivotFields count="5">
    <pivotField axis="axisRow" compact="0" allDrilled="1" outline="0" subtotalTop="0" showAll="0" dataSourceSort="1" defaultSubtotal="0" defaultAttributeDrillState="1">
      <items count="2">
        <item x="0"/>
        <item x="1"/>
      </items>
    </pivotField>
    <pivotField dataField="1" compact="0" outline="0" subtotalTop="0" showAll="0" defaultSubtotal="0"/>
    <pivotField dataField="1" compact="0" outline="0" subtotalTop="0" showAll="0" defaultSubtotal="0"/>
    <pivotField axis="axisRow" compact="0" allDrilled="1" outline="0" subtotalTop="0" showAll="0" dataSourceSort="1" defaultSubtotal="0" defaultAttributeDrillState="1">
      <items count="1">
        <item x="0"/>
      </items>
    </pivotField>
    <pivotField axis="axisRow" compact="0" allDrilled="1" outline="0" subtotalTop="0" showAll="0" dataSourceSort="1" defaultSubtotal="0" defaultAttributeDrillState="1">
      <items count="3">
        <item x="0"/>
        <item x="1"/>
        <item x="2"/>
      </items>
    </pivotField>
  </pivotFields>
  <rowFields count="3">
    <field x="3"/>
    <field x="4"/>
    <field x="0"/>
  </rowFields>
  <rowItems count="5">
    <i>
      <x/>
      <x/>
      <x/>
    </i>
    <i r="1">
      <x v="1"/>
      <x v="1"/>
    </i>
    <i r="2">
      <x/>
    </i>
    <i r="1">
      <x v="2"/>
      <x/>
    </i>
    <i t="grand">
      <x/>
    </i>
  </rowItems>
  <colFields count="1">
    <field x="-2"/>
  </colFields>
  <colItems count="2">
    <i>
      <x/>
    </i>
    <i i="1">
      <x v="1"/>
    </i>
  </colItems>
  <dataFields count="2">
    <dataField fld="1" subtotal="count" baseField="0" baseItem="0"/>
    <dataField fld="2" subtotal="count" baseField="0" baseItem="0"/>
  </dataFields>
  <pivotHierarchies count="45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rowHierarchiesUsage count="3">
    <rowHierarchyUsage hierarchyUsage="14"/>
    <rowHierarchyUsage hierarchyUsage="17"/>
    <rowHierarchyUsage hierarchyUsage="25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suc]"/>
        <x15:activeTabTopLevelEntity name="[hmov]"/>
        <x15:activeTabTopLevelEntity name="[area]"/>
        <x15:activeTabTopLevelEntity name="[prod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B945747-7367-427A-AAC7-505CBA012648}" name="prod" displayName="prod" ref="A1:H7" totalsRowShown="0">
  <autoFilter ref="A1:H7" xr:uid="{3B945747-7367-427A-AAC7-505CBA012648}"/>
  <tableColumns count="8">
    <tableColumn id="1" xr3:uid="{D1ED3B1A-88BF-4660-9333-2E1B49F16547}" name="producto"/>
    <tableColumn id="4" xr3:uid="{077F18B3-D03E-436C-ADDA-C6B84AD8609F}" name="unidad"/>
    <tableColumn id="7" xr3:uid="{FB6CE7D1-8029-42FC-8EFD-50CC8BB2E936}" name="area"/>
    <tableColumn id="6" xr3:uid="{3BD268D1-EF0E-4176-9856-1E4007FFDBE4}" name="idprod" dataDxfId="50"/>
    <tableColumn id="2" xr3:uid="{E40D8767-B299-4824-8759-69AB90219A0A}" name="existencia" dataDxfId="49">
      <calculatedColumnFormula>SUMIFS(hmov[cantidad],hmov[idproducto],prod[[#This Row],[idprod]],hmov[inout],1)-SUMIFS(hmov[cantidad],hmov[idproducto],prod[[#This Row],[idprod]],hmov[inout],0)</calculatedColumnFormula>
    </tableColumn>
    <tableColumn id="3" xr3:uid="{775A5429-05EE-469D-BF12-95F4BFA084EA}" name="ultimo costo" dataDxfId="48" dataCellStyle="Moneda">
      <calculatedColumnFormula array="1">IFERROR(SUM(hmov[costo]*--(hmov[idproducto]=prod[[#This Row],[idprod]])*--(hmov[fecha]=prod[[#This Row],[ultima entrada]]))/SUM(--(hmov[idproducto]=prod[[#This Row],[idprod]])*--(hmov[fecha]=prod[[#This Row],[ultima entrada]])),0)</calculatedColumnFormula>
    </tableColumn>
    <tableColumn id="5" xr3:uid="{88623E34-C2EA-4953-AD4E-7E8462F8B0A4}" name="costo promedio" dataDxfId="47" dataCellStyle="Moneda">
      <calculatedColumnFormula array="1">IFERROR(ROUND(SUM(--(_xlfn.ANCHORARRAY(auxProdDisp)=prod[[#This Row],[producto]])*_xlfn.ANCHORARRAY(auxLotCostDisp)*_xlfn.ANCHORARRAY(auxLotCantDisp))/prod[[#This Row],[existencia]],2),0)</calculatedColumnFormula>
    </tableColumn>
    <tableColumn id="8" xr3:uid="{549FE338-073F-4EBD-8D8C-081174062900}" name="ultima entrada" dataDxfId="46">
      <calculatedColumnFormula array="1">IF(LARGE(hmov[fecha]*--(hmov[idproducto]=prod[[#This Row],[idprod]])*--(hmov[inout]=1),1)=0,"",LARGE(hmov[fecha]*--(hmov[idproducto]=prod[[#This Row],[idprod]])*--(hmov[inout]=1),1))</calculatedColumnFormula>
    </tableColumn>
  </tableColumns>
  <tableStyleInfo name="TableStyleLight8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74419119-D8F6-4266-96A2-C36B2C1800E7}" name="prov" displayName="prov" ref="A1:B6" totalsRowShown="0">
  <autoFilter ref="A1:B6" xr:uid="{74419119-D8F6-4266-96A2-C36B2C1800E7}"/>
  <tableColumns count="2">
    <tableColumn id="1" xr3:uid="{AB441392-509E-457D-BC1C-F98AE59CEA69}" name="proveedor"/>
    <tableColumn id="2" xr3:uid="{CC5219C6-52C3-4D9A-983C-5A45FF275D80}" name="idproveedor" dataDxfId="45"/>
  </tableColumns>
  <tableStyleInfo name="TableStyleLight8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554B3E85-BFD7-48CA-AAF6-1803BC020CDB}" name="suc" displayName="suc" ref="A1:B4" totalsRowShown="0">
  <autoFilter ref="A1:B4" xr:uid="{554B3E85-BFD7-48CA-AAF6-1803BC020CDB}"/>
  <tableColumns count="2">
    <tableColumn id="1" xr3:uid="{19759173-5F83-4587-A626-4E872A8F979A}" name="sucursal"/>
    <tableColumn id="2" xr3:uid="{3B9A8D59-E50D-41F3-B647-CE78BA4CF77B}" name="idsucursal" dataDxfId="44"/>
  </tableColumns>
  <tableStyleInfo name="TableStyleLight8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35AA69EC-C32D-4CB3-A62A-2015B0F2393A}" name="ar" displayName="ar" ref="A1:B4" totalsRowShown="0">
  <autoFilter ref="A1:B4" xr:uid="{35AA69EC-C32D-4CB3-A62A-2015B0F2393A}"/>
  <tableColumns count="2">
    <tableColumn id="1" xr3:uid="{A9450D9B-7A4D-4449-BFDC-175A5CE41CF4}" name="area"/>
    <tableColumn id="2" xr3:uid="{6809EBFD-1386-4B71-AE0F-87814E7A0A60}" name="idarea" dataDxfId="43"/>
  </tableColumns>
  <tableStyleInfo name="TableStyleLight8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F135F6C-5B17-4397-B23B-CE659D44BA21}" name="tmov" displayName="tmov" ref="A1:C4" totalsRowShown="0">
  <autoFilter ref="A1:C4" xr:uid="{FF135F6C-5B17-4397-B23B-CE659D44BA21}"/>
  <tableColumns count="3">
    <tableColumn id="1" xr3:uid="{E91BAEA4-7E0B-4111-9A84-E0C22F051EAB}" name="tipo"/>
    <tableColumn id="2" xr3:uid="{550F5926-7656-4FD9-85A9-E80D30ED1D64}" name="inout"/>
    <tableColumn id="3" xr3:uid="{E28FD73B-32D3-4F7E-9EF7-97353D61553C}" name="idtipo" dataDxfId="42"/>
  </tableColumns>
  <tableStyleInfo name="TableStyleLight8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871C0EDB-2083-4D68-A429-91958B4E1066}" name="hmov" displayName="hmov" ref="A1:K17" totalsRowShown="0" dataDxfId="41">
  <autoFilter ref="A1:K17" xr:uid="{871C0EDB-2083-4D68-A429-91958B4E1066}"/>
  <tableColumns count="11">
    <tableColumn id="1" xr3:uid="{9B9544CD-669A-4781-A4A2-D72DA8F92247}" name="fecha" dataDxfId="40"/>
    <tableColumn id="2" xr3:uid="{8205D17E-783C-487B-9559-9823D34C6208}" name="idmov" dataDxfId="39"/>
    <tableColumn id="3" xr3:uid="{8AF9B385-5AB1-4B05-8A15-833AFC66DA32}" name="idtipo" dataDxfId="38"/>
    <tableColumn id="4" xr3:uid="{C955AA5A-6BA6-4089-A0A3-BC75A339CFFA}" name="inout" dataDxfId="37"/>
    <tableColumn id="9" xr3:uid="{BB261342-3672-4DF6-803D-690AF9EC4A30}" name="idsucursal" dataDxfId="36"/>
    <tableColumn id="10" xr3:uid="{0BFBCF4C-D959-497F-AB46-9212EC59287B}" name="idproveedor" dataDxfId="35"/>
    <tableColumn id="5" xr3:uid="{D4298A57-8EBD-4CA7-A753-9C36D40A5E0F}" name="idproducto" dataDxfId="34"/>
    <tableColumn id="6" xr3:uid="{CB70D502-2F78-4FBA-8BFB-6E431BD5E12D}" name="cantidad" dataDxfId="33"/>
    <tableColumn id="7" xr3:uid="{DE3F597D-B42D-458E-B9B1-5553201A990B}" name="costo" dataDxfId="32"/>
    <tableColumn id="11" xr3:uid="{B3946F2C-D42F-4DE8-B57E-B72EA1838C26}" name="lote" dataDxfId="31"/>
    <tableColumn id="8" xr3:uid="{21B09C58-A40A-4AB4-819C-446B7BC20964}" name="fecha_cad" dataDxfId="30"/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030916-D9D3-4204-BBBF-75B012ED86F7}">
  <sheetPr codeName="dash">
    <tabColor rgb="FF00B050"/>
  </sheetPr>
  <dimension ref="A2:F8"/>
  <sheetViews>
    <sheetView tabSelected="1" zoomScale="115" zoomScaleNormal="115" workbookViewId="0">
      <selection activeCell="E10" sqref="E10"/>
    </sheetView>
  </sheetViews>
  <sheetFormatPr baseColWidth="10" defaultRowHeight="15" x14ac:dyDescent="0.25"/>
  <cols>
    <col min="1" max="1" width="17.5703125" bestFit="1" customWidth="1"/>
    <col min="2" max="2" width="10.85546875" bestFit="1" customWidth="1"/>
    <col min="3" max="3" width="12.7109375" bestFit="1" customWidth="1"/>
    <col min="4" max="4" width="4.7109375" bestFit="1" customWidth="1"/>
  </cols>
  <sheetData>
    <row r="2" spans="1:6" hidden="1" x14ac:dyDescent="0.25">
      <c r="A2" s="11" t="s">
        <v>32</v>
      </c>
      <c r="B2" t="s" vm="1">
        <v>72</v>
      </c>
    </row>
    <row r="4" spans="1:6" x14ac:dyDescent="0.25">
      <c r="A4" s="11" t="s">
        <v>28</v>
      </c>
      <c r="B4" t="s">
        <v>30</v>
      </c>
      <c r="C4" s="14" t="s">
        <v>33</v>
      </c>
      <c r="D4" s="14" t="s">
        <v>31</v>
      </c>
      <c r="F4" t="s">
        <v>73</v>
      </c>
    </row>
    <row r="5" spans="1:6" x14ac:dyDescent="0.25">
      <c r="A5" s="12" t="s">
        <v>44</v>
      </c>
      <c r="B5" s="15">
        <v>108</v>
      </c>
      <c r="C5" s="16">
        <v>6400</v>
      </c>
      <c r="D5" s="15">
        <v>30</v>
      </c>
      <c r="F5" t="s">
        <v>75</v>
      </c>
    </row>
    <row r="6" spans="1:6" x14ac:dyDescent="0.25">
      <c r="A6" s="12" t="s">
        <v>49</v>
      </c>
      <c r="B6" s="15">
        <v>32</v>
      </c>
      <c r="C6" s="16">
        <v>2586</v>
      </c>
      <c r="D6" s="15">
        <v>-9</v>
      </c>
      <c r="F6" t="s">
        <v>80</v>
      </c>
    </row>
    <row r="7" spans="1:6" x14ac:dyDescent="0.25">
      <c r="A7" s="12" t="s">
        <v>46</v>
      </c>
      <c r="B7" s="15">
        <v>65</v>
      </c>
      <c r="C7" s="16">
        <v>552</v>
      </c>
      <c r="D7" s="15">
        <v>-1</v>
      </c>
    </row>
    <row r="8" spans="1:6" ht="18.75" x14ac:dyDescent="0.3">
      <c r="A8" s="18" t="s">
        <v>29</v>
      </c>
      <c r="B8" s="19">
        <v>205</v>
      </c>
      <c r="C8" s="20">
        <v>9538</v>
      </c>
      <c r="D8" s="19">
        <v>15</v>
      </c>
      <c r="F8" t="s">
        <v>74</v>
      </c>
    </row>
  </sheetData>
  <pageMargins left="0.7" right="0.7" top="0.75" bottom="0.75" header="0.3" footer="0.3"/>
  <pageSetup orientation="portrait" horizontalDpi="360" verticalDpi="360"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DF6AC5-6E26-4391-9CEE-FEE070D29CD7}">
  <sheetPr>
    <tabColor rgb="FF00B050"/>
  </sheetPr>
  <dimension ref="C2:C6"/>
  <sheetViews>
    <sheetView workbookViewId="0">
      <selection activeCell="C7" sqref="C7"/>
    </sheetView>
  </sheetViews>
  <sheetFormatPr baseColWidth="10" defaultRowHeight="15" x14ac:dyDescent="0.25"/>
  <sheetData>
    <row r="2" spans="3:3" x14ac:dyDescent="0.25">
      <c r="C2" t="s">
        <v>81</v>
      </c>
    </row>
    <row r="3" spans="3:3" x14ac:dyDescent="0.25">
      <c r="C3" t="s">
        <v>82</v>
      </c>
    </row>
    <row r="5" spans="3:3" x14ac:dyDescent="0.25">
      <c r="C5" t="s">
        <v>83</v>
      </c>
    </row>
    <row r="6" spans="3:3" x14ac:dyDescent="0.25">
      <c r="C6" t="s">
        <v>84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50E445-477E-4935-96A4-54EEF5C9D7BD}">
  <sheetPr codeName="Hoja1">
    <tabColor rgb="FF00B050"/>
  </sheetPr>
  <dimension ref="A3:H8"/>
  <sheetViews>
    <sheetView workbookViewId="0">
      <selection activeCell="J8" sqref="J8"/>
    </sheetView>
  </sheetViews>
  <sheetFormatPr baseColWidth="10" defaultRowHeight="15" x14ac:dyDescent="0.25"/>
  <cols>
    <col min="1" max="1" width="17.5703125" bestFit="1" customWidth="1"/>
    <col min="2" max="2" width="10.42578125" bestFit="1" customWidth="1"/>
    <col min="3" max="3" width="11" bestFit="1" customWidth="1"/>
    <col min="4" max="4" width="7.42578125" bestFit="1" customWidth="1"/>
    <col min="5" max="6" width="7.140625" bestFit="1" customWidth="1"/>
  </cols>
  <sheetData>
    <row r="3" spans="1:8" x14ac:dyDescent="0.25">
      <c r="A3" s="11" t="s">
        <v>34</v>
      </c>
      <c r="B3" s="11" t="s">
        <v>16</v>
      </c>
      <c r="C3" s="11" t="s">
        <v>15</v>
      </c>
      <c r="D3" t="s">
        <v>36</v>
      </c>
      <c r="E3" t="s">
        <v>37</v>
      </c>
      <c r="H3" t="s">
        <v>76</v>
      </c>
    </row>
    <row r="4" spans="1:8" x14ac:dyDescent="0.25">
      <c r="A4" t="s">
        <v>35</v>
      </c>
      <c r="B4" t="s">
        <v>49</v>
      </c>
      <c r="C4" t="s">
        <v>71</v>
      </c>
      <c r="D4" s="13"/>
      <c r="E4" s="13">
        <v>6</v>
      </c>
      <c r="H4" t="s">
        <v>77</v>
      </c>
    </row>
    <row r="5" spans="1:8" x14ac:dyDescent="0.25">
      <c r="B5" t="s">
        <v>44</v>
      </c>
      <c r="C5" t="s">
        <v>54</v>
      </c>
      <c r="D5" s="13">
        <v>2</v>
      </c>
      <c r="E5" s="13">
        <v>0</v>
      </c>
    </row>
    <row r="6" spans="1:8" x14ac:dyDescent="0.25">
      <c r="C6" t="s">
        <v>71</v>
      </c>
      <c r="D6" s="13"/>
      <c r="E6" s="13">
        <v>3</v>
      </c>
      <c r="H6" t="s">
        <v>78</v>
      </c>
    </row>
    <row r="7" spans="1:8" x14ac:dyDescent="0.25">
      <c r="B7" t="s">
        <v>46</v>
      </c>
      <c r="C7" t="s">
        <v>71</v>
      </c>
      <c r="D7" s="13"/>
      <c r="E7" s="13">
        <v>5</v>
      </c>
      <c r="H7" t="s">
        <v>79</v>
      </c>
    </row>
    <row r="8" spans="1:8" x14ac:dyDescent="0.25">
      <c r="A8" t="s">
        <v>29</v>
      </c>
      <c r="D8" s="13">
        <v>2</v>
      </c>
      <c r="E8" s="13">
        <v>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65D131-21F0-4BC8-B9C4-4F79F83F9D7F}">
  <sheetPr codeName="notamov">
    <tabColor theme="8" tint="0.59999389629810485"/>
  </sheetPr>
  <dimension ref="A2:F31"/>
  <sheetViews>
    <sheetView zoomScale="70" zoomScaleNormal="70" workbookViewId="0">
      <selection activeCell="I6" sqref="I6"/>
    </sheetView>
  </sheetViews>
  <sheetFormatPr baseColWidth="10" defaultRowHeight="15" x14ac:dyDescent="0.25"/>
  <cols>
    <col min="1" max="6" width="17.7109375" customWidth="1"/>
  </cols>
  <sheetData>
    <row r="2" spans="1:6" x14ac:dyDescent="0.25">
      <c r="A2" s="3" t="s">
        <v>9</v>
      </c>
      <c r="B2" s="5">
        <v>44738</v>
      </c>
    </row>
    <row r="3" spans="1:6" x14ac:dyDescent="0.25">
      <c r="A3" s="3" t="s">
        <v>15</v>
      </c>
      <c r="B3" s="1" t="s">
        <v>54</v>
      </c>
    </row>
    <row r="4" spans="1:6" x14ac:dyDescent="0.25">
      <c r="A4" s="3" t="s">
        <v>17</v>
      </c>
      <c r="B4" s="1" t="s">
        <v>52</v>
      </c>
    </row>
    <row r="5" spans="1:6" x14ac:dyDescent="0.25">
      <c r="A5" s="3" t="s">
        <v>22</v>
      </c>
      <c r="B5" s="1" t="s">
        <v>38</v>
      </c>
      <c r="C5" s="17"/>
    </row>
    <row r="6" spans="1:6" x14ac:dyDescent="0.25">
      <c r="A6" s="6" t="s">
        <v>6</v>
      </c>
      <c r="B6" s="4">
        <f>INDEX(tmov[inout],MATCH(ntipo_mov,tmov[tipo],0))</f>
        <v>0</v>
      </c>
    </row>
    <row r="8" spans="1:6" x14ac:dyDescent="0.25">
      <c r="A8" s="2" t="s">
        <v>0</v>
      </c>
      <c r="B8" s="2" t="s">
        <v>1</v>
      </c>
      <c r="C8" s="2" t="s">
        <v>21</v>
      </c>
      <c r="D8" s="2" t="s">
        <v>11</v>
      </c>
      <c r="E8" s="2" t="s">
        <v>27</v>
      </c>
      <c r="F8" s="2" t="s">
        <v>13</v>
      </c>
    </row>
    <row r="9" spans="1:6" x14ac:dyDescent="0.25">
      <c r="A9" s="1"/>
      <c r="B9" s="1"/>
      <c r="C9" s="8"/>
      <c r="D9" s="1"/>
      <c r="E9" s="8"/>
      <c r="F9" s="1"/>
    </row>
    <row r="10" spans="1:6" x14ac:dyDescent="0.25">
      <c r="A10" s="1"/>
      <c r="B10" s="1"/>
      <c r="C10" s="1"/>
      <c r="D10" s="1"/>
      <c r="E10" s="8"/>
      <c r="F10" s="1"/>
    </row>
    <row r="11" spans="1:6" x14ac:dyDescent="0.25">
      <c r="A11" s="1"/>
      <c r="B11" s="1"/>
      <c r="C11" s="1"/>
      <c r="D11" s="1"/>
      <c r="E11" s="8"/>
      <c r="F11" s="1"/>
    </row>
    <row r="12" spans="1:6" x14ac:dyDescent="0.25">
      <c r="A12" s="1"/>
      <c r="B12" s="1"/>
      <c r="C12" s="1"/>
      <c r="D12" s="1"/>
      <c r="E12" s="1"/>
      <c r="F12" s="1"/>
    </row>
    <row r="13" spans="1:6" x14ac:dyDescent="0.25">
      <c r="A13" s="1"/>
      <c r="B13" s="1"/>
      <c r="C13" s="1"/>
      <c r="D13" s="1"/>
      <c r="E13" s="1"/>
      <c r="F13" s="1"/>
    </row>
    <row r="14" spans="1:6" x14ac:dyDescent="0.25">
      <c r="A14" s="1"/>
      <c r="B14" s="1"/>
      <c r="C14" s="1"/>
      <c r="D14" s="1"/>
      <c r="E14" s="1"/>
      <c r="F14" s="1"/>
    </row>
    <row r="15" spans="1:6" x14ac:dyDescent="0.25">
      <c r="A15" s="1"/>
      <c r="B15" s="1"/>
      <c r="C15" s="1"/>
      <c r="D15" s="1"/>
      <c r="E15" s="1"/>
      <c r="F15" s="1"/>
    </row>
    <row r="16" spans="1:6" x14ac:dyDescent="0.25">
      <c r="A16" s="1"/>
      <c r="B16" s="1"/>
      <c r="C16" s="1"/>
      <c r="D16" s="1"/>
      <c r="E16" s="1"/>
      <c r="F16" s="1"/>
    </row>
    <row r="17" spans="1:6" x14ac:dyDescent="0.25">
      <c r="A17" s="1"/>
      <c r="B17" s="1"/>
      <c r="C17" s="1"/>
      <c r="D17" s="1"/>
      <c r="E17" s="1"/>
      <c r="F17" s="1"/>
    </row>
    <row r="18" spans="1:6" x14ac:dyDescent="0.25">
      <c r="A18" s="1"/>
      <c r="B18" s="1"/>
      <c r="C18" s="1"/>
      <c r="D18" s="1"/>
      <c r="E18" s="1"/>
      <c r="F18" s="1"/>
    </row>
    <row r="19" spans="1:6" x14ac:dyDescent="0.25">
      <c r="A19" s="1"/>
      <c r="B19" s="1"/>
      <c r="C19" s="1"/>
      <c r="D19" s="1"/>
      <c r="E19" s="1"/>
      <c r="F19" s="1"/>
    </row>
    <row r="20" spans="1:6" x14ac:dyDescent="0.25">
      <c r="A20" s="1"/>
      <c r="B20" s="1"/>
      <c r="C20" s="1"/>
      <c r="D20" s="1"/>
      <c r="E20" s="1"/>
      <c r="F20" s="1"/>
    </row>
    <row r="21" spans="1:6" x14ac:dyDescent="0.25">
      <c r="A21" s="1"/>
      <c r="B21" s="1"/>
      <c r="C21" s="1"/>
      <c r="D21" s="1"/>
      <c r="E21" s="1"/>
      <c r="F21" s="1"/>
    </row>
    <row r="22" spans="1:6" x14ac:dyDescent="0.25">
      <c r="A22" s="1"/>
      <c r="B22" s="1"/>
      <c r="C22" s="1"/>
      <c r="D22" s="1"/>
      <c r="E22" s="1"/>
      <c r="F22" s="1"/>
    </row>
    <row r="23" spans="1:6" x14ac:dyDescent="0.25">
      <c r="A23" s="1"/>
      <c r="B23" s="1"/>
      <c r="C23" s="1"/>
      <c r="D23" s="1"/>
      <c r="E23" s="1"/>
      <c r="F23" s="1"/>
    </row>
    <row r="24" spans="1:6" x14ac:dyDescent="0.25">
      <c r="A24" s="1"/>
      <c r="B24" s="1"/>
      <c r="C24" s="1"/>
      <c r="D24" s="1"/>
      <c r="E24" s="1"/>
      <c r="F24" s="1"/>
    </row>
    <row r="25" spans="1:6" x14ac:dyDescent="0.25">
      <c r="A25" s="1"/>
      <c r="B25" s="1"/>
      <c r="C25" s="1"/>
      <c r="D25" s="1"/>
      <c r="E25" s="1"/>
      <c r="F25" s="1"/>
    </row>
    <row r="26" spans="1:6" x14ac:dyDescent="0.25">
      <c r="A26" s="1"/>
      <c r="B26" s="1"/>
      <c r="C26" s="1"/>
      <c r="D26" s="1"/>
      <c r="E26" s="1"/>
      <c r="F26" s="1"/>
    </row>
    <row r="27" spans="1:6" x14ac:dyDescent="0.25">
      <c r="A27" s="1"/>
      <c r="B27" s="1"/>
      <c r="C27" s="1"/>
      <c r="D27" s="1"/>
      <c r="E27" s="1"/>
      <c r="F27" s="1"/>
    </row>
    <row r="28" spans="1:6" x14ac:dyDescent="0.25">
      <c r="A28" s="1"/>
      <c r="B28" s="1"/>
      <c r="C28" s="1"/>
      <c r="D28" s="1"/>
      <c r="E28" s="1"/>
      <c r="F28" s="1"/>
    </row>
    <row r="29" spans="1:6" x14ac:dyDescent="0.25">
      <c r="A29" s="1"/>
      <c r="B29" s="1"/>
      <c r="C29" s="1"/>
      <c r="D29" s="1"/>
      <c r="E29" s="1"/>
      <c r="F29" s="1"/>
    </row>
    <row r="30" spans="1:6" x14ac:dyDescent="0.25">
      <c r="A30" s="1"/>
      <c r="B30" s="1"/>
      <c r="C30" s="1"/>
      <c r="D30" s="1"/>
      <c r="E30" s="1"/>
      <c r="F30" s="1"/>
    </row>
    <row r="31" spans="1:6" x14ac:dyDescent="0.25">
      <c r="A31" s="1"/>
      <c r="B31" s="1"/>
      <c r="C31" s="1"/>
      <c r="D31" s="1"/>
      <c r="E31" s="1"/>
      <c r="F31" s="1"/>
    </row>
  </sheetData>
  <dataValidations count="15">
    <dataValidation type="decimal" allowBlank="1" showInputMessage="1" showErrorMessage="1" errorTitle="Error" error="Excede las existencias" sqref="D1:E1" xr:uid="{8774E785-F1F7-4289-B48F-531C13245F1B}">
      <formula1>0</formula1>
      <formula2>5</formula2>
    </dataValidation>
    <dataValidation type="list" allowBlank="1" showInputMessage="1" showErrorMessage="1" sqref="C12" xr:uid="{780D1A11-71F2-4268-A108-A25729435043}">
      <formula1>"44726123"</formula1>
    </dataValidation>
    <dataValidation type="list" allowBlank="1" showInputMessage="1" showErrorMessage="1" sqref="C13" xr:uid="{8A3A6774-1A60-46BD-B09B-5CAE51DCE080}">
      <formula1>"44726124"</formula1>
    </dataValidation>
    <dataValidation type="list" allowBlank="1" showInputMessage="1" showErrorMessage="1" sqref="C14" xr:uid="{CC99FDE5-29A2-4D75-A4CA-382EA0DA445B}">
      <formula1>"44726125"</formula1>
    </dataValidation>
    <dataValidation type="list" allowBlank="1" showInputMessage="1" showErrorMessage="1" sqref="C15" xr:uid="{473A889B-0EFA-49EF-87D9-BAA619B38598}">
      <formula1>"44726126"</formula1>
    </dataValidation>
    <dataValidation type="list" allowBlank="1" showInputMessage="1" showErrorMessage="1" sqref="C16" xr:uid="{CFC89F39-DB58-48A0-A132-48D9B64912C2}">
      <formula1>"44726225"</formula1>
    </dataValidation>
    <dataValidation type="list" allowBlank="1" showInputMessage="1" showErrorMessage="1" sqref="C17" xr:uid="{25121CE7-BA0A-4A89-9FD0-56DF9FF52C99}">
      <formula1>"44726226"</formula1>
    </dataValidation>
    <dataValidation type="list" allowBlank="1" showInputMessage="1" showErrorMessage="1" sqref="C18" xr:uid="{91390CCF-799C-4053-B6F2-2B169B80E254}">
      <formula1>"44726227"</formula1>
    </dataValidation>
    <dataValidation type="list" allowBlank="1" showInputMessage="1" showErrorMessage="1" sqref="C19" xr:uid="{636C19D3-015D-40AE-8A24-BBD8D42CB5C1}">
      <formula1>"44726228"</formula1>
    </dataValidation>
    <dataValidation type="list" allowBlank="1" showInputMessage="1" showErrorMessage="1" sqref="C20" xr:uid="{2C6074D6-708B-4727-8E70-64722048CF95}">
      <formula1>"44726229"</formula1>
    </dataValidation>
    <dataValidation type="list" allowBlank="1" showInputMessage="1" showErrorMessage="1" sqref="C21" xr:uid="{7600493E-B8FC-4E6A-9767-A19541D0F42F}">
      <formula1>"447262210"</formula1>
    </dataValidation>
    <dataValidation type="list" allowBlank="1" showInputMessage="1" showErrorMessage="1" sqref="A9:A31" xr:uid="{412751DB-B4BC-4241-9645-82D9B05268BD}">
      <formula1>"leche,queso,papa,pollo,lomo cerdo,huevo"</formula1>
    </dataValidation>
    <dataValidation type="list" allowBlank="1" showInputMessage="1" showErrorMessage="1" sqref="B3" xr:uid="{26117B37-C509-4C92-98E7-F2F2A3D88F46}">
      <formula1>"santayana,chapalita,valle real"</formula1>
    </dataValidation>
    <dataValidation type="list" allowBlank="1" showInputMessage="1" showErrorMessage="1" sqref="B5" xr:uid="{F7F9D4A7-FDBC-4E6C-9AB3-5D47D284BC5D}">
      <formula1>"compra,merma,traspaso"</formula1>
    </dataValidation>
    <dataValidation type="list" allowBlank="1" showInputMessage="1" showErrorMessage="1" sqref="B4" xr:uid="{E99D4295-5B82-4A6B-9748-9014ECA56865}">
      <formula1>"supollo,lala,gallo,puerco,abastos"</formula1>
    </dataValidation>
  </dataValidations>
  <pageMargins left="0.7" right="0.7" top="0.75" bottom="0.75" header="0.3" footer="0.3"/>
  <pageSetup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3" r:id="rId4" name="Button 5">
              <controlPr defaultSize="0" print="0" autoFill="0" autoPict="0" macro="[0]!guarda">
                <anchor moveWithCells="1" sizeWithCells="1">
                  <from>
                    <xdr:col>5</xdr:col>
                    <xdr:colOff>0</xdr:colOff>
                    <xdr:row>0</xdr:row>
                    <xdr:rowOff>161925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DCDE11-185F-4677-A794-C07BE3BD8465}">
  <sheetPr codeName="pr">
    <tabColor theme="6" tint="0.39997558519241921"/>
  </sheetPr>
  <dimension ref="A1:H7"/>
  <sheetViews>
    <sheetView workbookViewId="0">
      <selection activeCell="C2" sqref="C2"/>
    </sheetView>
  </sheetViews>
  <sheetFormatPr baseColWidth="10" defaultRowHeight="15" x14ac:dyDescent="0.25"/>
  <cols>
    <col min="1" max="8" width="15.7109375" customWidth="1"/>
  </cols>
  <sheetData>
    <row r="1" spans="1:8" x14ac:dyDescent="0.25">
      <c r="A1" t="s">
        <v>0</v>
      </c>
      <c r="B1" t="s">
        <v>1</v>
      </c>
      <c r="C1" t="s">
        <v>16</v>
      </c>
      <c r="D1" t="s">
        <v>7</v>
      </c>
      <c r="E1" t="s">
        <v>23</v>
      </c>
      <c r="F1" t="s">
        <v>24</v>
      </c>
      <c r="G1" t="s">
        <v>25</v>
      </c>
      <c r="H1" t="s">
        <v>26</v>
      </c>
    </row>
    <row r="2" spans="1:8" x14ac:dyDescent="0.25">
      <c r="A2" t="s">
        <v>41</v>
      </c>
      <c r="B2" t="s">
        <v>2</v>
      </c>
      <c r="C2" t="s">
        <v>44</v>
      </c>
      <c r="D2" s="1">
        <v>1</v>
      </c>
      <c r="E2" s="1">
        <f>SUMIFS(hmov[cantidad],hmov[idproducto],prod[[#This Row],[idprod]],hmov[inout],1)-SUMIFS(hmov[cantidad],hmov[idproducto],prod[[#This Row],[idprod]],hmov[inout],0)</f>
        <v>18</v>
      </c>
      <c r="F2" s="7" cm="1">
        <f t="array" ref="F2">IFERROR(SUM(hmov[costo]*--(hmov[idproducto]=prod[[#This Row],[idprod]])*--(hmov[fecha]=prod[[#This Row],[ultima entrada]]))/SUM(--(hmov[idproducto]=prod[[#This Row],[idprod]])*--(hmov[fecha]=prod[[#This Row],[ultima entrada]])),0)</f>
        <v>12</v>
      </c>
      <c r="G2" s="7" cm="1">
        <f t="array" ref="G2">IFERROR(ROUND(SUM(--(_xlfn.ANCHORARRAY(auxProdDisp)=prod[[#This Row],[producto]])*_xlfn.ANCHORARRAY(auxLotCostDisp)*_xlfn.ANCHORARRAY(auxLotCantDisp))/prod[[#This Row],[existencia]],2),0)</f>
        <v>11.11</v>
      </c>
      <c r="H2" s="8" cm="1">
        <f t="array" ref="H2">IF(LARGE(hmov[fecha]*--(hmov[idproducto]=prod[[#This Row],[idprod]])*--(hmov[inout]=1),1)=0,"",LARGE(hmov[fecha]*--(hmov[idproducto]=prod[[#This Row],[idprod]])*--(hmov[inout]=1),1))</f>
        <v>44727</v>
      </c>
    </row>
    <row r="3" spans="1:8" x14ac:dyDescent="0.25">
      <c r="A3" t="s">
        <v>45</v>
      </c>
      <c r="B3" t="s">
        <v>2</v>
      </c>
      <c r="C3" t="s">
        <v>44</v>
      </c>
      <c r="D3" s="1">
        <v>2</v>
      </c>
      <c r="E3" s="1">
        <f>SUMIFS(hmov[cantidad],hmov[idproducto],prod[[#This Row],[idprod]],hmov[inout],1)-SUMIFS(hmov[cantidad],hmov[idproducto],prod[[#This Row],[idprod]],hmov[inout],0)</f>
        <v>45</v>
      </c>
      <c r="F3" s="7" cm="1">
        <f t="array" ref="F3">IFERROR(SUM(hmov[costo]*--(hmov[idproducto]=prod[[#This Row],[idprod]])*--(hmov[fecha]=prod[[#This Row],[ultima entrada]]))/SUM(--(hmov[idproducto]=prod[[#This Row],[idprod]])*--(hmov[fecha]=prod[[#This Row],[ultima entrada]])),0)</f>
        <v>92</v>
      </c>
      <c r="G3" s="7" cm="1">
        <f t="array" ref="G3">IFERROR(ROUND(SUM(--(_xlfn.ANCHORARRAY(auxProdDisp)=prod[[#This Row],[producto]])*_xlfn.ANCHORARRAY(auxLotCostDisp)*_xlfn.ANCHORARRAY(auxLotCantDisp))/prod[[#This Row],[existencia]],2),0)</f>
        <v>85.33</v>
      </c>
      <c r="H3" s="8" cm="1">
        <f t="array" ref="H3">IF(LARGE(hmov[fecha]*--(hmov[idproducto]=prod[[#This Row],[idprod]])*--(hmov[inout]=1),1)=0,"",LARGE(hmov[fecha]*--(hmov[idproducto]=prod[[#This Row],[idprod]])*--(hmov[inout]=1),1))</f>
        <v>44727</v>
      </c>
    </row>
    <row r="4" spans="1:8" x14ac:dyDescent="0.25">
      <c r="A4" t="s">
        <v>43</v>
      </c>
      <c r="B4" t="s">
        <v>2</v>
      </c>
      <c r="C4" t="s">
        <v>46</v>
      </c>
      <c r="D4" s="1">
        <v>3</v>
      </c>
      <c r="E4" s="9">
        <f>SUMIFS(hmov[cantidad],hmov[idproducto],prod[[#This Row],[idprod]],hmov[inout],1)-SUMIFS(hmov[cantidad],hmov[idproducto],prod[[#This Row],[idprod]],hmov[inout],0)</f>
        <v>65</v>
      </c>
      <c r="F4" s="7" cm="1">
        <f t="array" ref="F4">IFERROR(SUM(hmov[costo]*--(hmov[idproducto]=prod[[#This Row],[idprod]])*--(hmov[fecha]=prod[[#This Row],[ultima entrada]]))/SUM(--(hmov[idproducto]=prod[[#This Row],[idprod]])*--(hmov[fecha]=prod[[#This Row],[ultima entrada]])),0)</f>
        <v>12</v>
      </c>
      <c r="G4" s="10" cm="1">
        <f t="array" ref="G4">IFERROR(ROUND(SUM(--(_xlfn.ANCHORARRAY(auxProdDisp)=prod[[#This Row],[producto]])*_xlfn.ANCHORARRAY(auxLotCostDisp)*_xlfn.ANCHORARRAY(auxLotCantDisp))/prod[[#This Row],[existencia]],2),0)</f>
        <v>8.49</v>
      </c>
      <c r="H4" s="8" cm="1">
        <f t="array" ref="H4">IF(LARGE(hmov[fecha]*--(hmov[idproducto]=prod[[#This Row],[idprod]])*--(hmov[inout]=1),1)=0,"",LARGE(hmov[fecha]*--(hmov[idproducto]=prod[[#This Row],[idprod]])*--(hmov[inout]=1),1))</f>
        <v>44732</v>
      </c>
    </row>
    <row r="5" spans="1:8" x14ac:dyDescent="0.25">
      <c r="A5" t="s">
        <v>47</v>
      </c>
      <c r="B5" t="s">
        <v>48</v>
      </c>
      <c r="C5" t="s">
        <v>49</v>
      </c>
      <c r="D5" s="1">
        <v>4</v>
      </c>
      <c r="E5" s="9">
        <f>SUMIFS(hmov[cantidad],hmov[idproducto],prod[[#This Row],[idprod]],hmov[inout],1)-SUMIFS(hmov[cantidad],hmov[idproducto],prod[[#This Row],[idprod]],hmov[inout],0)</f>
        <v>0</v>
      </c>
      <c r="F5" s="7" cm="1">
        <f t="array" ref="F5">IFERROR(SUM(hmov[costo]*--(hmov[idproducto]=prod[[#This Row],[idprod]])*--(hmov[fecha]=prod[[#This Row],[ultima entrada]]))/SUM(--(hmov[idproducto]=prod[[#This Row],[idprod]])*--(hmov[fecha]=prod[[#This Row],[ultima entrada]])),0)</f>
        <v>0</v>
      </c>
      <c r="G5" s="10" cm="1">
        <f t="array" ref="G5">IFERROR(ROUND(SUM(--(_xlfn.ANCHORARRAY(auxProdDisp)=prod[[#This Row],[producto]])*_xlfn.ANCHORARRAY(auxLotCostDisp)*_xlfn.ANCHORARRAY(auxLotCantDisp))/prod[[#This Row],[existencia]],2),0)</f>
        <v>0</v>
      </c>
      <c r="H5" s="8" t="str" cm="1">
        <f t="array" ref="H5">IF(LARGE(hmov[fecha]*--(hmov[idproducto]=prod[[#This Row],[idprod]])*--(hmov[inout]=1),1)=0,"",LARGE(hmov[fecha]*--(hmov[idproducto]=prod[[#This Row],[idprod]])*--(hmov[inout]=1),1))</f>
        <v/>
      </c>
    </row>
    <row r="6" spans="1:8" x14ac:dyDescent="0.25">
      <c r="A6" t="s">
        <v>50</v>
      </c>
      <c r="B6" t="s">
        <v>48</v>
      </c>
      <c r="C6" t="s">
        <v>49</v>
      </c>
      <c r="D6" s="1">
        <v>5</v>
      </c>
      <c r="E6" s="9">
        <f>SUMIFS(hmov[cantidad],hmov[idproducto],prod[[#This Row],[idprod]],hmov[inout],1)-SUMIFS(hmov[cantidad],hmov[idproducto],prod[[#This Row],[idprod]],hmov[inout],0)</f>
        <v>32</v>
      </c>
      <c r="F6" s="7" cm="1">
        <f t="array" ref="F6">IFERROR(SUM(hmov[costo]*--(hmov[idproducto]=prod[[#This Row],[idprod]])*--(hmov[fecha]=prod[[#This Row],[ultima entrada]]))/SUM(--(hmov[idproducto]=prod[[#This Row],[idprod]])*--(hmov[fecha]=prod[[#This Row],[ultima entrada]])),0)</f>
        <v>78</v>
      </c>
      <c r="G6" s="10" cm="1">
        <f t="array" ref="G6">IFERROR(ROUND(SUM(--(_xlfn.ANCHORARRAY(auxProdDisp)=prod[[#This Row],[producto]])*_xlfn.ANCHORARRAY(auxLotCostDisp)*_xlfn.ANCHORARRAY(auxLotCantDisp))/prod[[#This Row],[existencia]],2),0)</f>
        <v>80.81</v>
      </c>
      <c r="H6" s="8" cm="1">
        <f t="array" ref="H6">IF(LARGE(hmov[fecha]*--(hmov[idproducto]=prod[[#This Row],[idprod]])*--(hmov[inout]=1),1)=0,"",LARGE(hmov[fecha]*--(hmov[idproducto]=prod[[#This Row],[idprod]])*--(hmov[inout]=1),1))</f>
        <v>44732</v>
      </c>
    </row>
    <row r="7" spans="1:8" x14ac:dyDescent="0.25">
      <c r="A7" t="s">
        <v>42</v>
      </c>
      <c r="B7" t="s">
        <v>2</v>
      </c>
      <c r="C7" t="s">
        <v>44</v>
      </c>
      <c r="D7" s="1">
        <v>6</v>
      </c>
      <c r="E7" s="9">
        <f>SUMIFS(hmov[cantidad],hmov[idproducto],prod[[#This Row],[idprod]],hmov[inout],1)-SUMIFS(hmov[cantidad],hmov[idproducto],prod[[#This Row],[idprod]],hmov[inout],0)</f>
        <v>45</v>
      </c>
      <c r="F7" s="7" cm="1">
        <f t="array" ref="F7">IFERROR(SUM(hmov[costo]*--(hmov[idproducto]=prod[[#This Row],[idprod]])*--(hmov[fecha]=prod[[#This Row],[ultima entrada]]))/SUM(--(hmov[idproducto]=prod[[#This Row],[idprod]])*--(hmov[fecha]=prod[[#This Row],[ultima entrada]])),0)</f>
        <v>54</v>
      </c>
      <c r="G7" s="10" cm="1">
        <f t="array" ref="G7">IFERROR(ROUND(SUM(--(_xlfn.ANCHORARRAY(auxProdDisp)=prod[[#This Row],[producto]])*_xlfn.ANCHORARRAY(auxLotCostDisp)*_xlfn.ANCHORARRAY(auxLotCantDisp))/prod[[#This Row],[existencia]],2),0)</f>
        <v>53.33</v>
      </c>
      <c r="H7" s="8" cm="1">
        <f t="array" ref="H7">IF(LARGE(hmov[fecha]*--(hmov[idproducto]=prod[[#This Row],[idprod]])*--(hmov[inout]=1),1)=0,"",LARGE(hmov[fecha]*--(hmov[idproducto]=prod[[#This Row],[idprod]])*--(hmov[inout]=1),1))</f>
        <v>44734</v>
      </c>
    </row>
  </sheetData>
  <dataValidations count="1">
    <dataValidation type="list" allowBlank="1" showInputMessage="1" showErrorMessage="1" sqref="C2:C7" xr:uid="{8397D5C4-8800-470F-88C1-83D8ACFB80E1}">
      <formula1>"lacteos,verduras,carniceria"</formula1>
    </dataValidation>
  </dataValidations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0F232D-C5F2-4D8A-85F0-0CE01EDDF91E}">
  <sheetPr codeName="prov">
    <tabColor theme="6" tint="0.39997558519241921"/>
  </sheetPr>
  <dimension ref="A1:B6"/>
  <sheetViews>
    <sheetView workbookViewId="0">
      <selection activeCell="A7" sqref="A7"/>
    </sheetView>
  </sheetViews>
  <sheetFormatPr baseColWidth="10" defaultRowHeight="15" x14ac:dyDescent="0.25"/>
  <cols>
    <col min="1" max="2" width="15.7109375" customWidth="1"/>
  </cols>
  <sheetData>
    <row r="1" spans="1:2" x14ac:dyDescent="0.25">
      <c r="A1" t="s">
        <v>17</v>
      </c>
      <c r="B1" t="s">
        <v>19</v>
      </c>
    </row>
    <row r="2" spans="1:2" x14ac:dyDescent="0.25">
      <c r="A2" t="s">
        <v>51</v>
      </c>
      <c r="B2" s="1">
        <v>1</v>
      </c>
    </row>
    <row r="3" spans="1:2" x14ac:dyDescent="0.25">
      <c r="A3" t="s">
        <v>52</v>
      </c>
      <c r="B3" s="1">
        <v>2</v>
      </c>
    </row>
    <row r="4" spans="1:2" x14ac:dyDescent="0.25">
      <c r="A4" t="s">
        <v>53</v>
      </c>
      <c r="B4" s="1">
        <v>3</v>
      </c>
    </row>
    <row r="5" spans="1:2" x14ac:dyDescent="0.25">
      <c r="A5" t="s">
        <v>57</v>
      </c>
      <c r="B5" s="1">
        <v>4</v>
      </c>
    </row>
    <row r="6" spans="1:2" x14ac:dyDescent="0.25">
      <c r="A6" t="s">
        <v>59</v>
      </c>
      <c r="B6" s="1">
        <v>5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D4D817-B563-4DE8-B4B9-19853C387178}">
  <sheetPr codeName="suc">
    <tabColor theme="6" tint="0.39997558519241921"/>
  </sheetPr>
  <dimension ref="A1:B4"/>
  <sheetViews>
    <sheetView workbookViewId="0">
      <selection activeCell="A6" sqref="A6"/>
    </sheetView>
  </sheetViews>
  <sheetFormatPr baseColWidth="10" defaultRowHeight="15" x14ac:dyDescent="0.25"/>
  <cols>
    <col min="1" max="2" width="15.7109375" customWidth="1"/>
  </cols>
  <sheetData>
    <row r="1" spans="1:2" x14ac:dyDescent="0.25">
      <c r="A1" t="s">
        <v>15</v>
      </c>
      <c r="B1" t="s">
        <v>20</v>
      </c>
    </row>
    <row r="2" spans="1:2" x14ac:dyDescent="0.25">
      <c r="A2" t="s">
        <v>54</v>
      </c>
      <c r="B2" s="1">
        <v>1</v>
      </c>
    </row>
    <row r="3" spans="1:2" x14ac:dyDescent="0.25">
      <c r="A3" t="s">
        <v>55</v>
      </c>
      <c r="B3" s="1">
        <v>2</v>
      </c>
    </row>
    <row r="4" spans="1:2" x14ac:dyDescent="0.25">
      <c r="A4" t="s">
        <v>56</v>
      </c>
      <c r="B4" s="1">
        <v>3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0AF825-3910-4336-A200-F482D48AF2AA}">
  <sheetPr codeName="ar">
    <tabColor theme="6" tint="0.39997558519241921"/>
  </sheetPr>
  <dimension ref="A1:B4"/>
  <sheetViews>
    <sheetView workbookViewId="0">
      <selection activeCell="E8" sqref="E8"/>
    </sheetView>
  </sheetViews>
  <sheetFormatPr baseColWidth="10" defaultRowHeight="15" x14ac:dyDescent="0.25"/>
  <cols>
    <col min="1" max="2" width="15.7109375" customWidth="1"/>
  </cols>
  <sheetData>
    <row r="1" spans="1:2" x14ac:dyDescent="0.25">
      <c r="A1" t="s">
        <v>16</v>
      </c>
      <c r="B1" t="s">
        <v>18</v>
      </c>
    </row>
    <row r="2" spans="1:2" x14ac:dyDescent="0.25">
      <c r="A2" t="s">
        <v>44</v>
      </c>
      <c r="B2" s="1">
        <v>1</v>
      </c>
    </row>
    <row r="3" spans="1:2" x14ac:dyDescent="0.25">
      <c r="A3" t="s">
        <v>46</v>
      </c>
      <c r="B3" s="1">
        <v>2</v>
      </c>
    </row>
    <row r="4" spans="1:2" x14ac:dyDescent="0.25">
      <c r="A4" t="s">
        <v>49</v>
      </c>
      <c r="B4" s="1">
        <v>3</v>
      </c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CD6268-6784-4482-928A-A6AAFC07F15F}">
  <sheetPr codeName="tipmov">
    <tabColor theme="6" tint="0.39997558519241921"/>
  </sheetPr>
  <dimension ref="A1:C4"/>
  <sheetViews>
    <sheetView workbookViewId="0">
      <selection activeCell="B8" sqref="B8"/>
    </sheetView>
  </sheetViews>
  <sheetFormatPr baseColWidth="10" defaultRowHeight="15" x14ac:dyDescent="0.25"/>
  <cols>
    <col min="1" max="3" width="15.7109375" customWidth="1"/>
  </cols>
  <sheetData>
    <row r="1" spans="1:3" x14ac:dyDescent="0.25">
      <c r="A1" t="s">
        <v>3</v>
      </c>
      <c r="B1" t="s">
        <v>6</v>
      </c>
      <c r="C1" t="s">
        <v>12</v>
      </c>
    </row>
    <row r="2" spans="1:3" x14ac:dyDescent="0.25">
      <c r="A2" t="s">
        <v>4</v>
      </c>
      <c r="B2">
        <v>1</v>
      </c>
      <c r="C2" s="1">
        <v>1</v>
      </c>
    </row>
    <row r="3" spans="1:3" x14ac:dyDescent="0.25">
      <c r="A3" t="s">
        <v>5</v>
      </c>
      <c r="B3">
        <v>0</v>
      </c>
      <c r="C3" s="1">
        <v>2</v>
      </c>
    </row>
    <row r="4" spans="1:3" x14ac:dyDescent="0.25">
      <c r="A4" t="s">
        <v>38</v>
      </c>
      <c r="B4">
        <v>0</v>
      </c>
      <c r="C4" s="1">
        <v>3</v>
      </c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458BCA-2D7B-4A1A-A5CD-579641745E2B}">
  <sheetPr codeName="hmov">
    <tabColor theme="5" tint="0.79998168889431442"/>
  </sheetPr>
  <dimension ref="A1:M17"/>
  <sheetViews>
    <sheetView workbookViewId="0">
      <selection activeCell="G21" sqref="G21"/>
    </sheetView>
  </sheetViews>
  <sheetFormatPr baseColWidth="10" defaultRowHeight="15" x14ac:dyDescent="0.25"/>
  <cols>
    <col min="1" max="11" width="12.7109375" customWidth="1"/>
    <col min="12" max="12" width="11.42578125" customWidth="1"/>
    <col min="13" max="13" width="11.42578125" style="13" customWidth="1"/>
  </cols>
  <sheetData>
    <row r="1" spans="1:11" x14ac:dyDescent="0.25">
      <c r="A1" t="s">
        <v>9</v>
      </c>
      <c r="B1" t="s">
        <v>8</v>
      </c>
      <c r="C1" t="s">
        <v>12</v>
      </c>
      <c r="D1" t="s">
        <v>6</v>
      </c>
      <c r="E1" t="s">
        <v>20</v>
      </c>
      <c r="F1" t="s">
        <v>19</v>
      </c>
      <c r="G1" t="s">
        <v>14</v>
      </c>
      <c r="H1" t="s">
        <v>11</v>
      </c>
      <c r="I1" t="s">
        <v>10</v>
      </c>
      <c r="J1" t="s">
        <v>21</v>
      </c>
      <c r="K1" t="s">
        <v>27</v>
      </c>
    </row>
    <row r="2" spans="1:11" x14ac:dyDescent="0.25">
      <c r="A2" s="8">
        <v>44723</v>
      </c>
      <c r="B2" s="1">
        <v>1</v>
      </c>
      <c r="C2" s="1">
        <v>1</v>
      </c>
      <c r="D2" s="1">
        <v>1</v>
      </c>
      <c r="E2" s="1"/>
      <c r="F2" s="1">
        <v>1</v>
      </c>
      <c r="G2" s="1">
        <v>1</v>
      </c>
      <c r="H2" s="1">
        <v>0</v>
      </c>
      <c r="I2" s="1">
        <v>0</v>
      </c>
      <c r="J2" s="1">
        <v>44723111</v>
      </c>
      <c r="K2" s="8">
        <v>44927</v>
      </c>
    </row>
    <row r="3" spans="1:11" x14ac:dyDescent="0.25">
      <c r="A3" s="8">
        <v>44713</v>
      </c>
      <c r="B3" s="1">
        <v>2</v>
      </c>
      <c r="C3" s="1">
        <v>1</v>
      </c>
      <c r="D3" s="1">
        <v>1</v>
      </c>
      <c r="E3" s="1"/>
      <c r="F3" s="1">
        <v>2</v>
      </c>
      <c r="G3" s="1">
        <v>1</v>
      </c>
      <c r="H3" s="1">
        <v>10</v>
      </c>
      <c r="I3" s="1">
        <v>10</v>
      </c>
      <c r="J3" s="1" t="s">
        <v>39</v>
      </c>
      <c r="K3" s="8">
        <v>44722</v>
      </c>
    </row>
    <row r="4" spans="1:11" x14ac:dyDescent="0.25">
      <c r="A4" s="8">
        <v>44713</v>
      </c>
      <c r="B4" s="1">
        <v>2</v>
      </c>
      <c r="C4" s="1">
        <v>1</v>
      </c>
      <c r="D4" s="1">
        <v>1</v>
      </c>
      <c r="E4" s="1"/>
      <c r="F4" s="1">
        <v>2</v>
      </c>
      <c r="G4" s="1">
        <v>2</v>
      </c>
      <c r="H4" s="1">
        <v>25</v>
      </c>
      <c r="I4" s="1">
        <v>80</v>
      </c>
      <c r="J4" s="1" t="s">
        <v>58</v>
      </c>
      <c r="K4" s="8">
        <v>44774</v>
      </c>
    </row>
    <row r="5" spans="1:11" x14ac:dyDescent="0.25">
      <c r="A5" s="8">
        <v>44713</v>
      </c>
      <c r="B5" s="1">
        <v>3</v>
      </c>
      <c r="C5" s="1">
        <v>1</v>
      </c>
      <c r="D5" s="1">
        <v>1</v>
      </c>
      <c r="E5" s="1"/>
      <c r="F5" s="1">
        <v>5</v>
      </c>
      <c r="G5" s="1">
        <v>3</v>
      </c>
      <c r="H5" s="1">
        <v>20</v>
      </c>
      <c r="I5" s="1">
        <v>5</v>
      </c>
      <c r="J5" s="1" t="s">
        <v>60</v>
      </c>
      <c r="K5" s="8">
        <v>44732</v>
      </c>
    </row>
    <row r="6" spans="1:11" x14ac:dyDescent="0.25">
      <c r="A6" s="8">
        <v>44717</v>
      </c>
      <c r="B6" s="1">
        <v>4</v>
      </c>
      <c r="C6" s="1">
        <v>1</v>
      </c>
      <c r="D6" s="1">
        <v>1</v>
      </c>
      <c r="E6" s="1"/>
      <c r="F6" s="1">
        <v>5</v>
      </c>
      <c r="G6" s="1">
        <v>3</v>
      </c>
      <c r="H6" s="1">
        <v>10</v>
      </c>
      <c r="I6" s="1">
        <v>10</v>
      </c>
      <c r="J6" s="1" t="s">
        <v>61</v>
      </c>
      <c r="K6" s="8">
        <v>44732</v>
      </c>
    </row>
    <row r="7" spans="1:11" x14ac:dyDescent="0.25">
      <c r="A7" s="8">
        <v>44724</v>
      </c>
      <c r="B7" s="1">
        <v>5</v>
      </c>
      <c r="C7" s="1">
        <v>1</v>
      </c>
      <c r="D7" s="1">
        <v>1</v>
      </c>
      <c r="E7" s="1"/>
      <c r="F7" s="1">
        <v>5</v>
      </c>
      <c r="G7" s="1">
        <v>3</v>
      </c>
      <c r="H7" s="1">
        <v>17</v>
      </c>
      <c r="I7" s="1">
        <v>8</v>
      </c>
      <c r="J7" s="1" t="s">
        <v>62</v>
      </c>
      <c r="K7" s="8">
        <v>44742</v>
      </c>
    </row>
    <row r="8" spans="1:11" x14ac:dyDescent="0.25">
      <c r="A8" s="8">
        <v>44732</v>
      </c>
      <c r="B8" s="1">
        <v>6</v>
      </c>
      <c r="C8" s="1">
        <v>1</v>
      </c>
      <c r="D8" s="1">
        <v>1</v>
      </c>
      <c r="E8" s="1"/>
      <c r="F8" s="1">
        <v>5</v>
      </c>
      <c r="G8" s="1">
        <v>3</v>
      </c>
      <c r="H8" s="1">
        <v>18</v>
      </c>
      <c r="I8" s="1">
        <v>12</v>
      </c>
      <c r="J8" s="1" t="s">
        <v>63</v>
      </c>
      <c r="K8" s="8">
        <v>44747</v>
      </c>
    </row>
    <row r="9" spans="1:11" x14ac:dyDescent="0.25">
      <c r="A9" s="8">
        <v>44713</v>
      </c>
      <c r="B9" s="1">
        <v>7</v>
      </c>
      <c r="C9" s="1">
        <v>1</v>
      </c>
      <c r="D9" s="1">
        <v>1</v>
      </c>
      <c r="E9" s="1"/>
      <c r="F9" s="1">
        <v>4</v>
      </c>
      <c r="G9" s="1">
        <v>5</v>
      </c>
      <c r="H9" s="1">
        <v>10</v>
      </c>
      <c r="I9" s="1">
        <v>80</v>
      </c>
      <c r="J9" s="1" t="s">
        <v>64</v>
      </c>
      <c r="K9" s="8">
        <v>44720</v>
      </c>
    </row>
    <row r="10" spans="1:11" x14ac:dyDescent="0.25">
      <c r="A10" s="8">
        <v>44722</v>
      </c>
      <c r="B10" s="1">
        <v>8</v>
      </c>
      <c r="C10" s="1">
        <v>1</v>
      </c>
      <c r="D10" s="1">
        <v>1</v>
      </c>
      <c r="E10" s="1"/>
      <c r="F10" s="1">
        <v>4</v>
      </c>
      <c r="G10" s="1">
        <v>5</v>
      </c>
      <c r="H10" s="1">
        <v>10</v>
      </c>
      <c r="I10" s="1">
        <v>85</v>
      </c>
      <c r="J10" s="1" t="s">
        <v>65</v>
      </c>
      <c r="K10" s="8">
        <v>44730</v>
      </c>
    </row>
    <row r="11" spans="1:11" x14ac:dyDescent="0.25">
      <c r="A11" s="8">
        <v>44732</v>
      </c>
      <c r="B11" s="1">
        <v>9</v>
      </c>
      <c r="C11" s="1">
        <v>1</v>
      </c>
      <c r="D11" s="1">
        <v>1</v>
      </c>
      <c r="E11" s="1"/>
      <c r="F11" s="1">
        <v>4</v>
      </c>
      <c r="G11" s="1">
        <v>5</v>
      </c>
      <c r="H11" s="1">
        <v>12</v>
      </c>
      <c r="I11" s="1">
        <v>78</v>
      </c>
      <c r="J11" s="1" t="s">
        <v>66</v>
      </c>
      <c r="K11" s="8">
        <v>44740</v>
      </c>
    </row>
    <row r="12" spans="1:11" x14ac:dyDescent="0.25">
      <c r="A12" s="8">
        <v>44722</v>
      </c>
      <c r="B12" s="1">
        <v>10</v>
      </c>
      <c r="C12" s="1">
        <v>1</v>
      </c>
      <c r="D12" s="1">
        <v>1</v>
      </c>
      <c r="E12" s="1"/>
      <c r="F12" s="1">
        <v>3</v>
      </c>
      <c r="G12" s="1">
        <v>6</v>
      </c>
      <c r="H12" s="1">
        <v>20</v>
      </c>
      <c r="I12" s="1">
        <v>53</v>
      </c>
      <c r="J12" s="1" t="s">
        <v>67</v>
      </c>
      <c r="K12" s="8">
        <v>44742</v>
      </c>
    </row>
    <row r="13" spans="1:11" x14ac:dyDescent="0.25">
      <c r="A13" s="8">
        <v>44729</v>
      </c>
      <c r="B13" s="1">
        <v>11</v>
      </c>
      <c r="C13" s="1">
        <v>1</v>
      </c>
      <c r="D13" s="1">
        <v>1</v>
      </c>
      <c r="E13" s="1"/>
      <c r="F13" s="1">
        <v>3</v>
      </c>
      <c r="G13" s="1">
        <v>6</v>
      </c>
      <c r="H13" s="1">
        <v>10</v>
      </c>
      <c r="I13" s="1">
        <v>53</v>
      </c>
      <c r="J13" s="1" t="s">
        <v>68</v>
      </c>
      <c r="K13" s="8">
        <v>44748</v>
      </c>
    </row>
    <row r="14" spans="1:11" x14ac:dyDescent="0.25">
      <c r="A14" s="8">
        <v>44734</v>
      </c>
      <c r="B14" s="1">
        <v>12</v>
      </c>
      <c r="C14" s="1">
        <v>1</v>
      </c>
      <c r="D14" s="1">
        <v>1</v>
      </c>
      <c r="E14" s="1"/>
      <c r="F14" s="1">
        <v>3</v>
      </c>
      <c r="G14" s="1">
        <v>6</v>
      </c>
      <c r="H14" s="1">
        <v>15</v>
      </c>
      <c r="I14" s="1">
        <v>54</v>
      </c>
      <c r="J14" s="1" t="s">
        <v>69</v>
      </c>
      <c r="K14" s="8">
        <v>44757</v>
      </c>
    </row>
    <row r="15" spans="1:11" x14ac:dyDescent="0.25">
      <c r="A15" s="8">
        <v>44727</v>
      </c>
      <c r="B15" s="1">
        <v>13</v>
      </c>
      <c r="C15" s="1">
        <v>1</v>
      </c>
      <c r="D15" s="1">
        <v>1</v>
      </c>
      <c r="E15" s="1"/>
      <c r="F15" s="1">
        <v>2</v>
      </c>
      <c r="G15" s="1">
        <v>1</v>
      </c>
      <c r="H15" s="1">
        <v>10</v>
      </c>
      <c r="I15" s="1">
        <v>12</v>
      </c>
      <c r="J15" s="1" t="s">
        <v>40</v>
      </c>
      <c r="K15" s="8">
        <v>44737</v>
      </c>
    </row>
    <row r="16" spans="1:11" x14ac:dyDescent="0.25">
      <c r="A16" s="8">
        <v>44727</v>
      </c>
      <c r="B16" s="1">
        <v>13</v>
      </c>
      <c r="C16" s="1">
        <v>1</v>
      </c>
      <c r="D16" s="1">
        <v>1</v>
      </c>
      <c r="E16" s="1"/>
      <c r="F16" s="1">
        <v>2</v>
      </c>
      <c r="G16" s="1">
        <v>2</v>
      </c>
      <c r="H16" s="1">
        <v>20</v>
      </c>
      <c r="I16" s="1">
        <v>92</v>
      </c>
      <c r="J16" s="1" t="s">
        <v>70</v>
      </c>
      <c r="K16" s="8">
        <v>44788</v>
      </c>
    </row>
    <row r="17" spans="1:11" x14ac:dyDescent="0.25">
      <c r="A17" s="8">
        <v>44738</v>
      </c>
      <c r="B17" s="1">
        <v>14</v>
      </c>
      <c r="C17" s="1">
        <v>3</v>
      </c>
      <c r="D17" s="1">
        <v>0</v>
      </c>
      <c r="E17" s="1">
        <v>1</v>
      </c>
      <c r="F17" s="1">
        <v>2</v>
      </c>
      <c r="G17" s="1">
        <v>1</v>
      </c>
      <c r="H17" s="1">
        <v>2</v>
      </c>
      <c r="I17" s="1">
        <v>0</v>
      </c>
      <c r="J17" s="1" t="s">
        <v>39</v>
      </c>
      <c r="K17" s="8">
        <v>44722</v>
      </c>
    </row>
  </sheetData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5D6FCA-9C39-4724-8DB4-3548EFBA7332}">
  <sheetPr codeName="auxlot"/>
  <dimension ref="A2:I16"/>
  <sheetViews>
    <sheetView workbookViewId="0">
      <selection activeCell="C20" sqref="C20"/>
    </sheetView>
  </sheetViews>
  <sheetFormatPr baseColWidth="10" defaultRowHeight="15" x14ac:dyDescent="0.25"/>
  <sheetData>
    <row r="2" spans="1:9" x14ac:dyDescent="0.25">
      <c r="A2" cm="1">
        <f t="array" ref="A2:A16">_xlfn.UNIQUE(hmov[lote])</f>
        <v>44723111</v>
      </c>
      <c r="B2" t="str" cm="1">
        <f t="array" ref="B2:B16">INDEX(prod[producto],MATCH(INDEX(hmov[idproducto],MATCH(_xlfn.ANCHORARRAY(A2),hmov[lote],0)),prod[idprod],0))</f>
        <v>leche</v>
      </c>
      <c r="C2" cm="1">
        <f t="array" ref="C2:C16">SUMIFS(hmov[cantidad],hmov[inout],1,hmov[lote],_xlfn.ANCHORARRAY(A2))-SUMIFS(hmov[cantidad],hmov[inout],0,hmov[lote],_xlfn.ANCHORARRAY(A2))</f>
        <v>0</v>
      </c>
      <c r="D2" cm="1">
        <f t="array" ref="D2:D16">INDEX(hmov[costo],MATCH(_xlfn.ANCHORARRAY(A2),hmov[lote],0))</f>
        <v>0</v>
      </c>
      <c r="F2" t="str" cm="1">
        <f t="array" ref="F2:F15">_xlfn._xlws.SORT(_xlfn._xlws.FILTER(_xlfn.ANCHORARRAY(A2),_xlfn.ANCHORARRAY(C2)&gt;0,""))</f>
        <v>a1</v>
      </c>
      <c r="G2" t="str" cm="1">
        <f t="array" ref="G2:G15">INDEX(_xlfn.ANCHORARRAY(B2),MATCH(_xlfn.ANCHORARRAY(auxLotDisp),_xlfn.ANCHORARRAY(A2),0))</f>
        <v>leche</v>
      </c>
      <c r="H2" cm="1">
        <f t="array" ref="H2:H15">INDEX(_xlfn.ANCHORARRAY(C2),MATCH(_xlfn.ANCHORARRAY(auxLotDisp),_xlfn.ANCHORARRAY(A2),0))</f>
        <v>8</v>
      </c>
      <c r="I2" cm="1">
        <f t="array" ref="I2:I15">INDEX(_xlfn.ANCHORARRAY(D2),MATCH(_xlfn.ANCHORARRAY(auxLotDisp),_xlfn.ANCHORARRAY(A2),0))</f>
        <v>10</v>
      </c>
    </row>
    <row r="3" spans="1:9" x14ac:dyDescent="0.25">
      <c r="A3" t="str">
        <v>a1</v>
      </c>
      <c r="B3" t="str">
        <v>leche</v>
      </c>
      <c r="C3">
        <v>8</v>
      </c>
      <c r="D3">
        <v>10</v>
      </c>
      <c r="F3" t="str">
        <v>a2</v>
      </c>
      <c r="G3" t="str">
        <v>leche</v>
      </c>
      <c r="H3">
        <v>10</v>
      </c>
      <c r="I3">
        <v>12</v>
      </c>
    </row>
    <row r="4" spans="1:9" x14ac:dyDescent="0.25">
      <c r="A4" t="str">
        <v>q01</v>
      </c>
      <c r="B4" t="str">
        <v>queso</v>
      </c>
      <c r="C4">
        <v>25</v>
      </c>
      <c r="D4">
        <v>80</v>
      </c>
      <c r="F4" t="str">
        <v>gallo15/7/22</v>
      </c>
      <c r="G4" t="str">
        <v>huevo</v>
      </c>
      <c r="H4">
        <v>15</v>
      </c>
      <c r="I4">
        <v>54</v>
      </c>
    </row>
    <row r="5" spans="1:9" x14ac:dyDescent="0.25">
      <c r="A5" t="str">
        <v>papa1/06/2022</v>
      </c>
      <c r="B5" t="str">
        <v>papa</v>
      </c>
      <c r="C5">
        <v>20</v>
      </c>
      <c r="D5">
        <v>5</v>
      </c>
      <c r="F5" t="str">
        <v>gallo30/6/22</v>
      </c>
      <c r="G5" t="str">
        <v>huevo</v>
      </c>
      <c r="H5">
        <v>20</v>
      </c>
      <c r="I5">
        <v>53</v>
      </c>
    </row>
    <row r="6" spans="1:9" x14ac:dyDescent="0.25">
      <c r="A6" t="str">
        <v>papa5/6/22</v>
      </c>
      <c r="B6" t="str">
        <v>papa</v>
      </c>
      <c r="C6">
        <v>10</v>
      </c>
      <c r="D6">
        <v>10</v>
      </c>
      <c r="F6" t="str">
        <v>gallo6/7/22</v>
      </c>
      <c r="G6" t="str">
        <v>huevo</v>
      </c>
      <c r="H6">
        <v>10</v>
      </c>
      <c r="I6">
        <v>53</v>
      </c>
    </row>
    <row r="7" spans="1:9" x14ac:dyDescent="0.25">
      <c r="A7" t="str">
        <v>papa12/6/22</v>
      </c>
      <c r="B7" t="str">
        <v>papa</v>
      </c>
      <c r="C7">
        <v>17</v>
      </c>
      <c r="D7">
        <v>8</v>
      </c>
      <c r="F7" t="str">
        <v>lomo18/6/22</v>
      </c>
      <c r="G7" t="str">
        <v>lomo cerdo</v>
      </c>
      <c r="H7">
        <v>10</v>
      </c>
      <c r="I7">
        <v>85</v>
      </c>
    </row>
    <row r="8" spans="1:9" x14ac:dyDescent="0.25">
      <c r="A8" t="str">
        <v>papa20/6/22</v>
      </c>
      <c r="B8" t="str">
        <v>papa</v>
      </c>
      <c r="C8">
        <v>18</v>
      </c>
      <c r="D8">
        <v>12</v>
      </c>
      <c r="F8" t="str">
        <v>lomo28/6/22</v>
      </c>
      <c r="G8" t="str">
        <v>lomo cerdo</v>
      </c>
      <c r="H8">
        <v>12</v>
      </c>
      <c r="I8">
        <v>78</v>
      </c>
    </row>
    <row r="9" spans="1:9" x14ac:dyDescent="0.25">
      <c r="A9" t="str">
        <v>lomo8/6/22</v>
      </c>
      <c r="B9" t="str">
        <v>lomo cerdo</v>
      </c>
      <c r="C9">
        <v>10</v>
      </c>
      <c r="D9">
        <v>80</v>
      </c>
      <c r="F9" t="str">
        <v>lomo8/6/22</v>
      </c>
      <c r="G9" t="str">
        <v>lomo cerdo</v>
      </c>
      <c r="H9">
        <v>10</v>
      </c>
      <c r="I9">
        <v>80</v>
      </c>
    </row>
    <row r="10" spans="1:9" x14ac:dyDescent="0.25">
      <c r="A10" t="str">
        <v>lomo18/6/22</v>
      </c>
      <c r="B10" t="str">
        <v>lomo cerdo</v>
      </c>
      <c r="C10">
        <v>10</v>
      </c>
      <c r="D10">
        <v>85</v>
      </c>
      <c r="F10" t="str">
        <v>papa1/06/2022</v>
      </c>
      <c r="G10" t="str">
        <v>papa</v>
      </c>
      <c r="H10">
        <v>20</v>
      </c>
      <c r="I10">
        <v>5</v>
      </c>
    </row>
    <row r="11" spans="1:9" x14ac:dyDescent="0.25">
      <c r="A11" t="str">
        <v>lomo28/6/22</v>
      </c>
      <c r="B11" t="str">
        <v>lomo cerdo</v>
      </c>
      <c r="C11">
        <v>12</v>
      </c>
      <c r="D11">
        <v>78</v>
      </c>
      <c r="F11" t="str">
        <v>papa12/6/22</v>
      </c>
      <c r="G11" t="str">
        <v>papa</v>
      </c>
      <c r="H11">
        <v>17</v>
      </c>
      <c r="I11">
        <v>8</v>
      </c>
    </row>
    <row r="12" spans="1:9" x14ac:dyDescent="0.25">
      <c r="A12" t="str">
        <v>gallo30/6/22</v>
      </c>
      <c r="B12" t="str">
        <v>huevo</v>
      </c>
      <c r="C12">
        <v>20</v>
      </c>
      <c r="D12">
        <v>53</v>
      </c>
      <c r="F12" t="str">
        <v>papa20/6/22</v>
      </c>
      <c r="G12" t="str">
        <v>papa</v>
      </c>
      <c r="H12">
        <v>18</v>
      </c>
      <c r="I12">
        <v>12</v>
      </c>
    </row>
    <row r="13" spans="1:9" x14ac:dyDescent="0.25">
      <c r="A13" t="str">
        <v>gallo6/7/22</v>
      </c>
      <c r="B13" t="str">
        <v>huevo</v>
      </c>
      <c r="C13">
        <v>10</v>
      </c>
      <c r="D13">
        <v>53</v>
      </c>
      <c r="F13" t="str">
        <v>papa5/6/22</v>
      </c>
      <c r="G13" t="str">
        <v>papa</v>
      </c>
      <c r="H13">
        <v>10</v>
      </c>
      <c r="I13">
        <v>10</v>
      </c>
    </row>
    <row r="14" spans="1:9" x14ac:dyDescent="0.25">
      <c r="A14" t="str">
        <v>gallo15/7/22</v>
      </c>
      <c r="B14" t="str">
        <v>huevo</v>
      </c>
      <c r="C14">
        <v>15</v>
      </c>
      <c r="D14">
        <v>54</v>
      </c>
      <c r="F14" t="str">
        <v>q002</v>
      </c>
      <c r="G14" t="str">
        <v>queso</v>
      </c>
      <c r="H14">
        <v>20</v>
      </c>
      <c r="I14">
        <v>92</v>
      </c>
    </row>
    <row r="15" spans="1:9" x14ac:dyDescent="0.25">
      <c r="A15" t="str">
        <v>a2</v>
      </c>
      <c r="B15" t="str">
        <v>leche</v>
      </c>
      <c r="C15">
        <v>10</v>
      </c>
      <c r="D15">
        <v>12</v>
      </c>
      <c r="F15" t="str">
        <v>q01</v>
      </c>
      <c r="G15" t="str">
        <v>queso</v>
      </c>
      <c r="H15">
        <v>25</v>
      </c>
      <c r="I15">
        <v>80</v>
      </c>
    </row>
    <row r="16" spans="1:9" x14ac:dyDescent="0.25">
      <c r="A16" t="str">
        <v>q002</v>
      </c>
      <c r="B16" t="str">
        <v>queso</v>
      </c>
      <c r="C16">
        <v>20</v>
      </c>
      <c r="D16">
        <v>92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19.xml>�� 
</file>

<file path=customXml/item20.xml>�� 
</file>

<file path=customXml/itemProps1.xml><?xml version="1.0" encoding="utf-8"?>
<ds:datastoreItem xmlns:ds="http://schemas.openxmlformats.org/officeDocument/2006/customXml" ds:itemID="{B0D08F51-EB4B-4D59-9180-63FBFCD0FCBF}">
  <ds:schemaRefs/>
</ds:datastoreItem>
</file>

<file path=customXml/itemProps2.xml><?xml version="1.0" encoding="utf-8"?>
<ds:datastoreItem xmlns:ds="http://schemas.openxmlformats.org/officeDocument/2006/customXml" ds:itemID="{035E197F-66FB-4886-8EA9-CAB8A9DD1F86}">
  <ds:schemaRefs/>
</ds:datastoreItem>
</file>

<file path=customXml/itemProps3.xml><?xml version="1.0" encoding="utf-8"?>
<ds:datastoreItem xmlns:ds="http://schemas.openxmlformats.org/officeDocument/2006/customXml" ds:itemID="{31EB7792-4B18-4A1D-9E69-47250332656D}">
  <ds:schemaRefs/>
</ds:datastoreItem>
</file>

<file path=customXml/itemProps4.xml><?xml version="1.0" encoding="utf-8"?>
<ds:datastoreItem xmlns:ds="http://schemas.openxmlformats.org/officeDocument/2006/customXml" ds:itemID="{DF1523BC-C448-4441-8608-DD985BD0E48F}">
  <ds:schemaRefs/>
</ds:datastoreItem>
</file>

<file path=customXml/itemProps5.xml><?xml version="1.0" encoding="utf-8"?>
<ds:datastoreItem xmlns:ds="http://schemas.openxmlformats.org/officeDocument/2006/customXml" ds:itemID="{FBC590C9-DA43-4352-BF28-D5A5FEE2FC69}">
  <ds:schemaRefs/>
</ds:datastoreItem>
</file>

<file path=customXml/itemProps6.xml><?xml version="1.0" encoding="utf-8"?>
<ds:datastoreItem xmlns:ds="http://schemas.openxmlformats.org/officeDocument/2006/customXml" ds:itemID="{291BB7EA-ACC5-4F6A-9594-151DE601A6FD}">
  <ds:schemaRefs/>
</ds:datastoreItem>
</file>

<file path=customXml/itemProps7.xml><?xml version="1.0" encoding="utf-8"?>
<ds:datastoreItem xmlns:ds="http://schemas.openxmlformats.org/officeDocument/2006/customXml" ds:itemID="{3068F4AE-7D46-4918-9349-3FBDD85D29FC}">
  <ds:schemaRefs/>
</ds:datastoreItem>
</file>

<file path=customXml/itemProps8.xml><?xml version="1.0" encoding="utf-8"?>
<ds:datastoreItem xmlns:ds="http://schemas.openxmlformats.org/officeDocument/2006/customXml" ds:itemID="{93E34183-F85B-4F94-9D92-C38144654823}">
  <ds:schemaRefs/>
</ds:datastoreItem>
</file>

<file path=customXml/itemProps9.xml><?xml version="1.0" encoding="utf-8"?>
<ds:datastoreItem xmlns:ds="http://schemas.openxmlformats.org/officeDocument/2006/customXml" ds:itemID="{22EC1C85-2FCE-44F6-90F6-602F5335FA79}">
  <ds:schemaRefs/>
</ds:datastoreItem>
</file>

<file path=customXml/itemProps10.xml><?xml version="1.0" encoding="utf-8"?>
<ds:datastoreItem xmlns:ds="http://schemas.openxmlformats.org/officeDocument/2006/customXml" ds:itemID="{09718D59-0ECD-4D65-8401-E840D69A1F22}">
  <ds:schemaRefs/>
</ds:datastoreItem>
</file>

<file path=customXml/itemProps11.xml><?xml version="1.0" encoding="utf-8"?>
<ds:datastoreItem xmlns:ds="http://schemas.openxmlformats.org/officeDocument/2006/customXml" ds:itemID="{654E4D10-AED5-4791-822B-F5BC25CF23D8}">
  <ds:schemaRefs/>
</ds:datastoreItem>
</file>

<file path=customXml/itemProps12.xml><?xml version="1.0" encoding="utf-8"?>
<ds:datastoreItem xmlns:ds="http://schemas.openxmlformats.org/officeDocument/2006/customXml" ds:itemID="{6DB34F29-A4F6-438B-8854-66DA8F4D90AB}">
  <ds:schemaRefs>
    <ds:schemaRef ds:uri="http://schemas.microsoft.com/DataMashup"/>
  </ds:schemaRefs>
</ds:datastoreItem>
</file>

<file path=customXml/itemProps13.xml><?xml version="1.0" encoding="utf-8"?>
<ds:datastoreItem xmlns:ds="http://schemas.openxmlformats.org/officeDocument/2006/customXml" ds:itemID="{B57EA7EE-CF23-4969-A1BF-216297C6B165}">
  <ds:schemaRefs/>
</ds:datastoreItem>
</file>

<file path=customXml/itemProps14.xml><?xml version="1.0" encoding="utf-8"?>
<ds:datastoreItem xmlns:ds="http://schemas.openxmlformats.org/officeDocument/2006/customXml" ds:itemID="{4015DC48-EA13-45B5-90D8-72C112DAB00E}">
  <ds:schemaRefs/>
</ds:datastoreItem>
</file>

<file path=customXml/itemProps15.xml><?xml version="1.0" encoding="utf-8"?>
<ds:datastoreItem xmlns:ds="http://schemas.openxmlformats.org/officeDocument/2006/customXml" ds:itemID="{75FE26F2-8F98-4677-9508-8C879E9A5008}">
  <ds:schemaRefs/>
</ds:datastoreItem>
</file>

<file path=customXml/itemProps16.xml><?xml version="1.0" encoding="utf-8"?>
<ds:datastoreItem xmlns:ds="http://schemas.openxmlformats.org/officeDocument/2006/customXml" ds:itemID="{C035B7DF-725A-4285-A752-1C55FAD37E5B}">
  <ds:schemaRefs/>
</ds:datastoreItem>
</file>

<file path=customXml/itemProps17.xml><?xml version="1.0" encoding="utf-8"?>
<ds:datastoreItem xmlns:ds="http://schemas.openxmlformats.org/officeDocument/2006/customXml" ds:itemID="{DF65E2F3-1F0A-4D56-BE20-DAFD3BE02265}">
  <ds:schemaRefs/>
</ds:datastoreItem>
</file>

<file path=customXml/itemProps18.xml><?xml version="1.0" encoding="utf-8"?>
<ds:datastoreItem xmlns:ds="http://schemas.openxmlformats.org/officeDocument/2006/customXml" ds:itemID="{DB1F9E6A-E860-42FB-948B-9DF67279C378}">
  <ds:schemaRefs/>
</ds:datastoreItem>
</file>

<file path=customXml/itemProps19.xml><?xml version="1.0" encoding="utf-8"?>
<ds:datastoreItem xmlns:ds="http://schemas.openxmlformats.org/officeDocument/2006/customXml" ds:itemID="{4A0C2F39-4745-43AB-9450-6819DD04B953}">
  <ds:schemaRefs/>
</ds:datastoreItem>
</file>

<file path=customXml/itemProps20.xml><?xml version="1.0" encoding="utf-8"?>
<ds:datastoreItem xmlns:ds="http://schemas.openxmlformats.org/officeDocument/2006/customXml" ds:itemID="{1A8FA2E9-6F67-4A94-9021-D610F9461ADE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11</vt:i4>
      </vt:variant>
      <vt:variant>
        <vt:lpstr>Rangos con nombre</vt:lpstr>
      </vt:variant>
      <vt:variant>
        <vt:i4>32</vt:i4>
      </vt:variant>
    </vt:vector>
  </HeadingPairs>
  <TitlesOfParts>
    <vt:vector size="43" baseType="lpstr">
      <vt:lpstr>dash Inv</vt:lpstr>
      <vt:lpstr>dash Ent</vt:lpstr>
      <vt:lpstr>dash Sal</vt:lpstr>
      <vt:lpstr>notaMov</vt:lpstr>
      <vt:lpstr>Prod</vt:lpstr>
      <vt:lpstr>Prov</vt:lpstr>
      <vt:lpstr>Suc</vt:lpstr>
      <vt:lpstr>Ars</vt:lpstr>
      <vt:lpstr>tMov</vt:lpstr>
      <vt:lpstr>hMov</vt:lpstr>
      <vt:lpstr>aux lotes</vt:lpstr>
      <vt:lpstr>auxLotCantDisp</vt:lpstr>
      <vt:lpstr>auxLotCostDisp</vt:lpstr>
      <vt:lpstr>auxLotDisp</vt:lpstr>
      <vt:lpstr>auxProdDisp</vt:lpstr>
      <vt:lpstr>bas</vt:lpstr>
      <vt:lpstr>col_cantidad</vt:lpstr>
      <vt:lpstr>col_costo_unitario</vt:lpstr>
      <vt:lpstr>col_fecha_cad</vt:lpstr>
      <vt:lpstr>col_lote</vt:lpstr>
      <vt:lpstr>col_producto</vt:lpstr>
      <vt:lpstr>col_unidad</vt:lpstr>
      <vt:lpstr>e_cantidad</vt:lpstr>
      <vt:lpstr>e_costo_unitario</vt:lpstr>
      <vt:lpstr>e_fecha_cad</vt:lpstr>
      <vt:lpstr>e_lote</vt:lpstr>
      <vt:lpstr>e_producto</vt:lpstr>
      <vt:lpstr>e_unidad</vt:lpstr>
      <vt:lpstr>enc</vt:lpstr>
      <vt:lpstr>grl</vt:lpstr>
      <vt:lpstr>iniarea</vt:lpstr>
      <vt:lpstr>inihmov</vt:lpstr>
      <vt:lpstr>iniprod</vt:lpstr>
      <vt:lpstr>iniprov</vt:lpstr>
      <vt:lpstr>inisuc</vt:lpstr>
      <vt:lpstr>initmov</vt:lpstr>
      <vt:lpstr>nfecha</vt:lpstr>
      <vt:lpstr>ninout</vt:lpstr>
      <vt:lpstr>nproveedor</vt:lpstr>
      <vt:lpstr>nsucursal</vt:lpstr>
      <vt:lpstr>ntipo_mov</vt:lpstr>
      <vt:lpstr>penc</vt:lpstr>
      <vt:lpstr>pgrl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Pablo Fuentes</dc:creator>
  <cp:lastModifiedBy>Pablo Fuentes</cp:lastModifiedBy>
  <dcterms:created xsi:type="dcterms:W3CDTF">2022-06-11T14:56:22Z</dcterms:created>
  <dcterms:modified xsi:type="dcterms:W3CDTF">2022-06-27T05:49:53Z</dcterms:modified>
</cp:coreProperties>
</file>