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2382893c4084e1c/Documentos/PROG/vba grj/inventory/inventory/"/>
    </mc:Choice>
  </mc:AlternateContent>
  <xr:revisionPtr revIDLastSave="2262" documentId="8_{74055B30-D531-4947-B2C1-5A67885E641B}" xr6:coauthVersionLast="47" xr6:coauthVersionMax="47" xr10:uidLastSave="{18320C46-74D4-499C-9D4A-B8205D8D54E3}"/>
  <bookViews>
    <workbookView xWindow="2340" yWindow="2340" windowWidth="15375" windowHeight="7875" tabRatio="836" firstSheet="3" activeTab="3" xr2:uid="{D0EDAFDB-9B1C-42B7-84F5-A604B73174C5}"/>
  </bookViews>
  <sheets>
    <sheet name="dash Inv" sheetId="5" r:id="rId1"/>
    <sheet name="dash Ent" sheetId="11" r:id="rId2"/>
    <sheet name="dash Sal" sheetId="10" r:id="rId3"/>
    <sheet name="notaMov" sheetId="3" r:id="rId4"/>
    <sheet name="Prod" sheetId="1" r:id="rId5"/>
    <sheet name="Prov" sheetId="7" r:id="rId6"/>
    <sheet name="Suc" sheetId="8" r:id="rId7"/>
    <sheet name="Ars" sheetId="6" r:id="rId8"/>
    <sheet name="tMov" sheetId="4" r:id="rId9"/>
    <sheet name="hMov" sheetId="2" r:id="rId10"/>
    <sheet name="aux lotes" sheetId="9" state="hidden" r:id="rId11"/>
  </sheets>
  <functionGroups builtInGroupCount="19"/>
  <definedNames>
    <definedName name="auxLotCantDisp">'aux lotes'!$H$2</definedName>
    <definedName name="auxLotCostDisp">'aux lotes'!$I$2</definedName>
    <definedName name="auxLotDisp">'aux lotes'!$F$2</definedName>
    <definedName name="auxProdDisp">'aux lotes'!$G$2</definedName>
    <definedName name="bas">notaMov!$A$9:$F$10</definedName>
    <definedName name="col_CANTIDAD">notaMov!$D$9:$D$10</definedName>
    <definedName name="col_COSTO_UNITARIO">notaMov!$F$9:$F$10</definedName>
    <definedName name="col_FECHA_CAD">notaMov!$E$9:$E$10</definedName>
    <definedName name="col_LOTE">notaMov!$C$9:$C$10</definedName>
    <definedName name="col_PRODUCTO">notaMov!$A$9:$A$10</definedName>
    <definedName name="col_UNIDAD">notaMov!$B$9:$B$10</definedName>
    <definedName name="e_CANTIDAD">notaMov!$D$8</definedName>
    <definedName name="e_COSTO_UNITARIO">notaMov!$F$8</definedName>
    <definedName name="e_FECHA_CAD">notaMov!$E$8</definedName>
    <definedName name="e_LOTE">notaMov!$C$8</definedName>
    <definedName name="e_PRODUCTO">notaMov!$A$8</definedName>
    <definedName name="e_UNIDAD">notaMov!$B$8</definedName>
    <definedName name="enc">notaMov!$A$8:$F$8</definedName>
    <definedName name="grl">notaMov!$A$2:$A$6</definedName>
    <definedName name="iniarea">ar[[#Headers],[AREA]]</definedName>
    <definedName name="inihmov">hmov[[#Headers],[FECHA]]</definedName>
    <definedName name="iniprod">prod[[#Headers],[PRODUCTO]]</definedName>
    <definedName name="iniprov">prov[[#Headers],[PROVEEDOR]]</definedName>
    <definedName name="inisuc">suc[[#Headers],[SUCURSAL]]</definedName>
    <definedName name="initmov">tmov[[#Headers],[TIPO]]</definedName>
    <definedName name="nFECHA">notaMov!$B$2</definedName>
    <definedName name="nINOUT">notaMov!$B$6</definedName>
    <definedName name="nPROVEEDOR">notaMov!$B$4</definedName>
    <definedName name="nSUCURSAL">notaMov!$B$3</definedName>
    <definedName name="nTIPO_MOV">notaMov!$B$5</definedName>
    <definedName name="penc">notaMov!$A$8</definedName>
    <definedName name="pgrl">notaMov!$A$2</definedName>
  </definedNames>
  <calcPr calcId="191029"/>
  <pivotCaches>
    <pivotCache cacheId="2" r:id="rId12"/>
    <pivotCache cacheId="3" r:id="rId13"/>
    <pivotCache cacheId="4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hmov_9751f634-ec00-4ede-96fd-a3595885ee1f" name="hmov" connection="Consulta - hmov"/>
          <x15:modelTable id="prod_7034fbb2-eb06-4e3f-aec3-fac7e9847096" name="prod" connection="Consulta - prod"/>
          <x15:modelTable id="prov_a98ea2fd-e3db-4d95-b261-62decb2f3f17" name="prov" connection="Consulta - prov"/>
          <x15:modelTable id="suc_87a79418-0728-4155-8892-dc7bdd3727d6" name="suc" connection="Consulta - suc"/>
          <x15:modelTable id="tmov_db33d8d4-503a-4498-98e1-db4341ae9605" name="tmov" connection="Consulta - tmov"/>
          <x15:modelTable id="area_570ff796-2aad-4bc5-8b93-df80be0c76bd" name="area" connection="Consulta - area"/>
        </x15:modelTables>
        <x15:modelRelationships>
          <x15:modelRelationship fromTable="hmov" fromColumn="idtipo" toTable="tmov" toColumn="idtipo"/>
          <x15:modelRelationship fromTable="hmov" fromColumn="idsucursal" toTable="suc" toColumn="idsucursal"/>
          <x15:modelRelationship fromTable="hmov" fromColumn="idproducto" toTable="prod" toColumn="idprod"/>
          <x15:modelRelationship fromTable="hmov" fromColumn="idproveedor" toTable="prov" toColumn="idproveedo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3" l="1"/>
  <c r="E4" i="1" l="1"/>
  <c r="H4" i="1" a="1"/>
  <c r="H4" i="1" s="1"/>
  <c r="F4" i="1" s="1" a="1"/>
  <c r="F4" i="1" s="1"/>
  <c r="E3" i="1"/>
  <c r="H3" i="1" a="1"/>
  <c r="H3" i="1" s="1"/>
  <c r="F3" i="1" s="1" a="1"/>
  <c r="F3" i="1" s="1"/>
  <c r="H2" i="1" a="1"/>
  <c r="H2" i="1" s="1"/>
  <c r="A2" i="9" l="1" a="1"/>
  <c r="A2" i="9" s="1"/>
  <c r="F2" i="1" a="1"/>
  <c r="F2" i="1" s="1"/>
  <c r="E2" i="1"/>
  <c r="B6" i="3"/>
  <c r="D2" i="9" l="1" a="1"/>
  <c r="D2" i="9" s="1"/>
  <c r="B2" i="9" a="1"/>
  <c r="B2" i="9" s="1"/>
  <c r="C2" i="9" a="1"/>
  <c r="C2" i="9" s="1"/>
  <c r="F2" i="9" l="1" a="1"/>
  <c r="F2" i="9" s="1"/>
  <c r="H2" i="9" s="1" a="1"/>
  <c r="H2" i="9" s="1"/>
  <c r="I2" i="9" l="1" a="1"/>
  <c r="I2" i="9" s="1"/>
  <c r="G2" i="9" a="1"/>
  <c r="G2" i="9" s="1"/>
  <c r="G3" i="1" l="1" a="1"/>
  <c r="G3" i="1" s="1"/>
  <c r="G4" i="1" a="1"/>
  <c r="G4" i="1" s="1"/>
  <c r="G2" i="1" a="1"/>
  <c r="G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BA9DAC-AF46-44E8-88BE-D21BEB0B1A75}" name="Consulta - area" description="Conexión a la consulta 'area' en el libro." type="100" refreshedVersion="8" minRefreshableVersion="5">
    <extLst>
      <ext xmlns:x15="http://schemas.microsoft.com/office/spreadsheetml/2010/11/main" uri="{DE250136-89BD-433C-8126-D09CA5730AF9}">
        <x15:connection id="7599d1e6-8099-4c99-a6ef-733e4b16725b"/>
      </ext>
    </extLst>
  </connection>
  <connection id="2" xr16:uid="{2836F233-3055-4160-BB59-2E8EB94DC5E4}" name="Consulta - hmov" description="Conexión a la consulta 'hmov' en el libro." type="100" refreshedVersion="8" minRefreshableVersion="5">
    <extLst>
      <ext xmlns:x15="http://schemas.microsoft.com/office/spreadsheetml/2010/11/main" uri="{DE250136-89BD-433C-8126-D09CA5730AF9}">
        <x15:connection id="f19c7152-6fb8-4ae9-a891-5d19b69fb43d"/>
      </ext>
    </extLst>
  </connection>
  <connection id="3" xr16:uid="{54343B45-C44B-452B-9C3F-5E1E37D6ADBC}" name="Consulta - prod" description="Conexión a la consulta 'prod' en el libro." type="100" refreshedVersion="8" minRefreshableVersion="5">
    <extLst>
      <ext xmlns:x15="http://schemas.microsoft.com/office/spreadsheetml/2010/11/main" uri="{DE250136-89BD-433C-8126-D09CA5730AF9}">
        <x15:connection id="75d43440-46bb-4f03-8722-2ebf51a69924"/>
      </ext>
    </extLst>
  </connection>
  <connection id="4" xr16:uid="{9653FD04-6A90-4FF7-9C82-5FAC6D502196}" name="Consulta - prov" description="Conexión a la consulta 'prov' en el libro." type="100" refreshedVersion="8" minRefreshableVersion="5">
    <extLst>
      <ext xmlns:x15="http://schemas.microsoft.com/office/spreadsheetml/2010/11/main" uri="{DE250136-89BD-433C-8126-D09CA5730AF9}">
        <x15:connection id="4e59f9d7-f345-4a2d-aaae-9430653cbc8d"/>
      </ext>
    </extLst>
  </connection>
  <connection id="5" xr16:uid="{F6639F0F-142B-4372-86FF-6AB2DE46A056}" name="Consulta - suc" description="Conexión a la consulta 'suc' en el libro." type="100" refreshedVersion="8" minRefreshableVersion="5">
    <extLst>
      <ext xmlns:x15="http://schemas.microsoft.com/office/spreadsheetml/2010/11/main" uri="{DE250136-89BD-433C-8126-D09CA5730AF9}">
        <x15:connection id="8d0fbb6f-465d-4cc3-9aa4-1cd2f73ca07e"/>
      </ext>
    </extLst>
  </connection>
  <connection id="6" xr16:uid="{8C2AD55F-3169-4171-AA42-966D6271F506}" name="Consulta - tmov" description="Conexión a la consulta 'tmov' en el libro." type="100" refreshedVersion="8" minRefreshableVersion="5">
    <extLst>
      <ext xmlns:x15="http://schemas.microsoft.com/office/spreadsheetml/2010/11/main" uri="{DE250136-89BD-433C-8126-D09CA5730AF9}">
        <x15:connection id="2e7afc23-7085-4612-acee-5c0d1d0a2ebf"/>
      </ext>
    </extLst>
  </connection>
  <connection id="7" xr16:uid="{487773C1-D733-4E6E-A89F-8737B8AEBA2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4">
    <s v="ThisWorkbookDataModel"/>
    <s v="{[hmov].[inout].&amp;[0]}"/>
    <s v="{[hmov].[inout].&amp;[1]}"/>
    <s v="{[hmov].[col_existencias].&amp;[10],[hmov].[col_existencias].&amp;[12],[hmov].[col_existencias].&amp;[15],[hmov].[col_existencias].&amp;[17],[hmov].[col_existencias].&amp;[18],[hmov].[col_existencias].&amp;[20]}"/>
  </metadataStrings>
  <mdxMetadata count="3">
    <mdx n="0" f="s">
      <ms ns="1" c="0"/>
    </mdx>
    <mdx n="0" f="s">
      <ms ns="2" c="0"/>
    </mdx>
    <mdx n="0" f="s">
      <ms ns="3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<sst xmlns="http://schemas.openxmlformats.org/spreadsheetml/2006/main" count="102" uniqueCount="64">
  <si>
    <t>compra</t>
  </si>
  <si>
    <t>merma</t>
  </si>
  <si>
    <t>inout</t>
  </si>
  <si>
    <t>Total general</t>
  </si>
  <si>
    <t>col_existencias</t>
  </si>
  <si>
    <t>traspaso</t>
  </si>
  <si>
    <t>lacteos</t>
  </si>
  <si>
    <t>verduras</t>
  </si>
  <si>
    <t>carniceria</t>
  </si>
  <si>
    <t>lala</t>
  </si>
  <si>
    <t>gallo</t>
  </si>
  <si>
    <t>santayana</t>
  </si>
  <si>
    <t>chapalita</t>
  </si>
  <si>
    <t>puerco</t>
  </si>
  <si>
    <t>abastos</t>
  </si>
  <si>
    <t>0</t>
  </si>
  <si>
    <t>1</t>
  </si>
  <si>
    <t>(Varios elementos)</t>
  </si>
  <si>
    <t/>
  </si>
  <si>
    <t>ValorTraspaso</t>
  </si>
  <si>
    <t>CantidadTraspaso</t>
  </si>
  <si>
    <t>FrecuenciaTraspaso</t>
  </si>
  <si>
    <t>CantidadExistente</t>
  </si>
  <si>
    <t>VidaPromedio</t>
  </si>
  <si>
    <t>ValorExistente</t>
  </si>
  <si>
    <t>CantidadEntrada</t>
  </si>
  <si>
    <t>ValorEntrada</t>
  </si>
  <si>
    <t>na</t>
  </si>
  <si>
    <t>FECHA</t>
  </si>
  <si>
    <t>SUCURSAL</t>
  </si>
  <si>
    <t>PROVEEDOR</t>
  </si>
  <si>
    <t>TIPO_MOV</t>
  </si>
  <si>
    <t>INOUT</t>
  </si>
  <si>
    <t>PRODUCTO</t>
  </si>
  <si>
    <t>UNIDAD</t>
  </si>
  <si>
    <t>LOTE</t>
  </si>
  <si>
    <t>CANTIDAD</t>
  </si>
  <si>
    <t>FECHA_CAD</t>
  </si>
  <si>
    <t>COSTO_UNITARIO</t>
  </si>
  <si>
    <t>AREA</t>
  </si>
  <si>
    <t>IDPROD</t>
  </si>
  <si>
    <t>EXISTENCIA</t>
  </si>
  <si>
    <t>ULTIMO COSTO</t>
  </si>
  <si>
    <t>COSTO PROMEDIO</t>
  </si>
  <si>
    <t>ULTIMA ENTRADA</t>
  </si>
  <si>
    <t>IDPROVEEDOR</t>
  </si>
  <si>
    <t>IDSUCURSAL</t>
  </si>
  <si>
    <t>IDAREA</t>
  </si>
  <si>
    <t>TIPO</t>
  </si>
  <si>
    <t>IDTIPO</t>
  </si>
  <si>
    <t>IDMOV</t>
  </si>
  <si>
    <t>IDPRODUCTO</t>
  </si>
  <si>
    <t>COSTO</t>
  </si>
  <si>
    <t>leche</t>
  </si>
  <si>
    <t>pz</t>
  </si>
  <si>
    <t>queso</t>
  </si>
  <si>
    <t>cerveza</t>
  </si>
  <si>
    <t>bebidas</t>
  </si>
  <si>
    <t>cerdo</t>
  </si>
  <si>
    <t>pollo</t>
  </si>
  <si>
    <t>otra</t>
  </si>
  <si>
    <t>supollo</t>
  </si>
  <si>
    <t>moctezuma</t>
  </si>
  <si>
    <t>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</si>
</sst>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\$#,##0.00;\-\$#,##0.00;\$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14" fontId="0" fillId="2" borderId="0" xfId="0" applyNumberForma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44" fontId="0" fillId="2" borderId="0" xfId="1" applyFont="1" applyFill="1"/>
    <xf numFmtId="14" fontId="0" fillId="2" borderId="0" xfId="0" applyNumberFormat="1" applyFill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pivotButton="1" applyAlignment="1">
      <alignment horizontal="left"/>
    </xf>
    <xf numFmtId="0" fontId="0" fillId="2" borderId="0" xfId="0" applyNumberFormat="1" applyFill="1"/>
    <xf numFmtId="44" fontId="0" fillId="2" borderId="0" xfId="1" applyNumberFormat="1" applyFont="1" applyFill="1"/>
  </cellXfs>
  <cellStyles count="2">
    <cellStyle name="Moneda" xfId="1" builtinId="4"/>
    <cellStyle name="Normal" xfId="0" builtinId="0"/>
  </cellStyles>
  <dxfs count="46"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19" formatCode="dd/mm/yyyy"/>
      <fill>
        <patternFill patternType="solid">
          <fgColor indexed="64"/>
          <bgColor theme="0" tint="-4.9989318521683403E-2"/>
        </patternFill>
      </fill>
    </dxf>
    <dxf>
      <numFmt numFmtId="34" formatCode="_-&quot;$&quot;* #,##0.00_-;\-&quot;$&quot;* #,##0.00_-;_-&quot;$&quot;* &quot;-&quot;??_-;_-@_-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font>
        <sz val="11"/>
      </font>
    </dxf>
    <dxf>
      <font>
        <sz val="11"/>
      </font>
    </dxf>
    <dxf>
      <font>
        <sz val="1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</xdr:row>
          <xdr:rowOff>0</xdr:rowOff>
        </xdr:from>
        <xdr:to>
          <xdr:col>5</xdr:col>
          <xdr:colOff>752475</xdr:colOff>
          <xdr:row>2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161925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40.662615972222" backgroundQuery="1" createdVersion="8" refreshedVersion="8" minRefreshableVersion="3" recordCount="0" supportSubquery="1" supportAdvancedDrill="1" xr:uid="{6D5351C8-40FD-4E9A-9FC7-E22479CB9835}">
  <cacheSource type="external" connectionId="7"/>
  <cacheFields count="7">
    <cacheField name="[prod].[producto].[producto]" caption="producto" numFmtId="0" hierarchy="15" level="1">
      <sharedItems containsNonDate="0" count="1">
        <s v="papa"/>
      </sharedItems>
    </cacheField>
    <cacheField name="[hmov].[lote].[lote]" caption="lote" numFmtId="0" hierarchy="11" level="1">
      <sharedItems containsNonDate="0" count="3">
        <s v="papa12/6/22"/>
        <s v="papa20/6/22"/>
        <s v="papa5/6/22"/>
      </sharedItems>
    </cacheField>
    <cacheField name="[Measures].[vida]" caption="vida" numFmtId="0" hierarchy="34" level="32767"/>
    <cacheField name="[hmov].[col_existencias].[col_existencias]" caption="col_existencias" numFmtId="0" hierarchy="13" level="1">
      <sharedItems containsSemiMixedTypes="0" containsNonDate="0" containsString="0"/>
    </cacheField>
    <cacheField name="[Measures].[cost]" caption="cost" numFmtId="0" hierarchy="35" level="32767"/>
    <cacheField name="[prod].[area].[area]" caption="area" numFmtId="0" hierarchy="17" level="1">
      <sharedItems count="3">
        <s v="carniceria"/>
        <s v="lacteos"/>
        <s v="verduras"/>
      </sharedItems>
    </cacheField>
    <cacheField name="[Measures].[existencias]" caption="existencias" numFmtId="0" hierarchy="33" level="32767"/>
  </cacheFields>
  <cacheHierarchies count="48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0" memberValueDatatype="20" unbalanced="0"/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2" memberValueDatatype="130" unbalanced="0">
      <fieldsUsage count="2">
        <fieldUsage x="-1"/>
        <fieldUsage x="1"/>
      </fieldsUsage>
    </cacheHierarchy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2" memberValueDatatype="20" unbalanced="0">
      <fieldsUsage count="2">
        <fieldUsage x="-1"/>
        <fieldUsage x="3"/>
      </fieldsUsage>
    </cacheHierarchy>
    <cacheHierarchy uniqueName="[hmov].[costolote_virtual]" caption="costolote_virtual" attribute="1" defaultMemberUniqueName="[hmov].[costolote_virtual].[All]" allUniqueName="[hmov].[costolote_virtual].[All]" dimensionUniqueName="[hmov]" displayFolder="" count="0" memberValueDatatype="2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0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5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0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0" memberValueDatatype="130" unbalanced="0"/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lote_virtual]" caption="lote_virtual" attribute="1" defaultMemberUniqueName="[hmov].[lote_virtual].[All]" allUniqueName="[hmov].[lote_virtual].[All]" dimensionUniqueName="[hmov]" displayFolder="" count="0" memberValueDatatype="13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 oneField="1">
      <fieldsUsage count="1">
        <fieldUsage x="6"/>
      </fieldsUsage>
    </cacheHierarchy>
    <cacheHierarchy uniqueName="[Measures].[vida]" caption="vida" measure="1" displayFolder="" measureGroup="hmov" count="0" oneField="1">
      <fieldsUsage count="1">
        <fieldUsage x="2"/>
      </fieldsUsage>
    </cacheHierarchy>
    <cacheHierarchy uniqueName="[Measures].[cost]" caption="cost" measure="1" displayFolder="" measureGroup="hmov" count="0" oneField="1">
      <fieldsUsage count="1">
        <fieldUsage x="4"/>
      </fieldsUsage>
    </cacheHierarchy>
    <cacheHierarchy uniqueName="[Measures].[salCant]" caption="salCant" measure="1" displayFolder="" measureGroup="hmov" count="0"/>
    <cacheHierarchy uniqueName="[Measures].[salFrec]" caption="salFrec" measure="1" displayFolder="" measureGroup="hmov" count="0"/>
    <cacheHierarchy uniqueName="[Measures].[salCost]" caption="salCost" measure="1" displayFolder="" measureGroup="hmov" count="0"/>
    <cacheHierarchy uniqueName="[Measures].[entCant]" caption="entCant" measure="1" displayFolder="" measureGroup="hmov" count="0"/>
    <cacheHierarchy uniqueName="[Measures].[entCost]" caption="entCost" measure="1" displayFolder="" measureGroup="hmov" count="0"/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40.665193749999" backgroundQuery="1" createdVersion="8" refreshedVersion="8" minRefreshableVersion="3" recordCount="0" supportSubquery="1" supportAdvancedDrill="1" xr:uid="{7C87C8D9-EE2E-4CEA-8794-1DE3456E8FD6}">
  <cacheSource type="external" connectionId="7"/>
  <cacheFields count="6">
    <cacheField name="[prov].[proveedor].[proveedor]" caption="proveedor" numFmtId="0" hierarchy="23" level="1">
      <sharedItems count="4">
        <s v="abastos"/>
        <s v="gallo"/>
        <s v="lala"/>
        <s v="puerco"/>
      </sharedItems>
    </cacheField>
    <cacheField name="[Measures].[entCant]" caption="entCant" numFmtId="0" hierarchy="39" level="32767"/>
    <cacheField name="[Measures].[entCost]" caption="entCost" numFmtId="0" hierarchy="40" level="32767"/>
    <cacheField name="[prod].[producto].[producto]" caption="producto" numFmtId="0" hierarchy="15" level="1">
      <sharedItems containsNonDate="0" count="1">
        <s v="papa"/>
      </sharedItems>
    </cacheField>
    <cacheField name="[prod].[area].[area]" caption="area" numFmtId="0" hierarchy="17" level="1">
      <sharedItems containsNonDate="0" count="1">
        <s v="verduras"/>
      </sharedItems>
    </cacheField>
    <cacheField name="[hmov].[inout].[inout]" caption="inout" numFmtId="0" hierarchy="5" level="1">
      <sharedItems containsSemiMixedTypes="0" containsNonDate="0" containsString="0"/>
    </cacheField>
  </cacheFields>
  <cacheHierarchies count="48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2" memberValueDatatype="20" unbalanced="0">
      <fieldsUsage count="2">
        <fieldUsage x="-1"/>
        <fieldUsage x="5"/>
      </fieldsUsage>
    </cacheHierarchy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0" memberValueDatatype="130" unbalanced="0"/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0" memberValueDatatype="20" unbalanced="0"/>
    <cacheHierarchy uniqueName="[hmov].[costolote_virtual]" caption="costolote_virtual" attribute="1" defaultMemberUniqueName="[hmov].[costolote_virtual].[All]" allUniqueName="[hmov].[costolote_virtual].[All]" dimensionUniqueName="[hmov]" displayFolder="" count="0" memberValueDatatype="2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3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4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2" memberValueDatatype="130" unbalanced="0">
      <fieldsUsage count="2">
        <fieldUsage x="-1"/>
        <fieldUsage x="0"/>
      </fieldsUsage>
    </cacheHierarchy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0" memberValueDatatype="130" unbalanced="0"/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lote_virtual]" caption="lote_virtual" attribute="1" defaultMemberUniqueName="[hmov].[lote_virtual].[All]" allUniqueName="[hmov].[lote_virtual].[All]" dimensionUniqueName="[hmov]" displayFolder="" count="0" memberValueDatatype="13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/>
    <cacheHierarchy uniqueName="[Measures].[vida]" caption="vida" measure="1" displayFolder="" measureGroup="hmov" count="0"/>
    <cacheHierarchy uniqueName="[Measures].[cost]" caption="cost" measure="1" displayFolder="" measureGroup="hmov" count="0"/>
    <cacheHierarchy uniqueName="[Measures].[salCant]" caption="salCant" measure="1" displayFolder="" measureGroup="hmov" count="0"/>
    <cacheHierarchy uniqueName="[Measures].[salFrec]" caption="salFrec" measure="1" displayFolder="" measureGroup="hmov" count="0"/>
    <cacheHierarchy uniqueName="[Measures].[salCost]" caption="salCost" measure="1" displayFolder="" measureGroup="hmov" count="0"/>
    <cacheHierarchy uniqueName="[Measures].[entCant]" caption="entCant" measure="1" displayFolder="" measureGroup="hmov" count="0" oneField="1">
      <fieldsUsage count="1">
        <fieldUsage x="1"/>
      </fieldsUsage>
    </cacheHierarchy>
    <cacheHierarchy uniqueName="[Measures].[entCost]" caption="entCost" measure="1" displayFolder="" measureGroup="hmov" count="0" oneField="1">
      <fieldsUsage count="1">
        <fieldUsage x="2"/>
      </fieldsUsage>
    </cacheHierarchy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40.665266435186" backgroundQuery="1" createdVersion="8" refreshedVersion="8" minRefreshableVersion="3" recordCount="0" supportSubquery="1" supportAdvancedDrill="1" xr:uid="{D216B360-082C-4D54-8C43-5AA6B6DBFD4B}">
  <cacheSource type="external" connectionId="7"/>
  <cacheFields count="7">
    <cacheField name="[suc].[sucursal].[sucursal]" caption="sucursal" numFmtId="0" hierarchy="25" level="1">
      <sharedItems count="2">
        <s v="chapalita"/>
        <s v="santayana"/>
      </sharedItems>
    </cacheField>
    <cacheField name="[Measures].[salCant]" caption="salCant" numFmtId="0" hierarchy="36" level="32767"/>
    <cacheField name="[Measures].[salFrec]" caption="salFrec" numFmtId="0" hierarchy="37" level="32767"/>
    <cacheField name="[prod].[producto].[producto]" caption="producto" numFmtId="0" hierarchy="15" level="1">
      <sharedItems containsNonDate="0" count="1">
        <s v="leche"/>
      </sharedItems>
    </cacheField>
    <cacheField name="[prod].[area].[area]" caption="area" numFmtId="0" hierarchy="17" level="1">
      <sharedItems containsNonDate="0" count="1">
        <s v="lacteos"/>
      </sharedItems>
    </cacheField>
    <cacheField name="[Measures].[salCost]" caption="salCost" numFmtId="0" hierarchy="38" level="32767"/>
    <cacheField name="[hmov].[inout].[inout]" caption="inout" numFmtId="0" hierarchy="5" level="1">
      <sharedItems containsSemiMixedTypes="0" containsNonDate="0" containsString="0"/>
    </cacheField>
  </cacheFields>
  <cacheHierarchies count="48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2" memberValueDatatype="20" unbalanced="0">
      <fieldsUsage count="2">
        <fieldUsage x="-1"/>
        <fieldUsage x="6"/>
      </fieldsUsage>
    </cacheHierarchy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0" memberValueDatatype="130" unbalanced="0"/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0" memberValueDatatype="20" unbalanced="0"/>
    <cacheHierarchy uniqueName="[hmov].[costolote_virtual]" caption="costolote_virtual" attribute="1" defaultMemberUniqueName="[hmov].[costolote_virtual].[All]" allUniqueName="[hmov].[costolote_virtual].[All]" dimensionUniqueName="[hmov]" displayFolder="" count="0" memberValueDatatype="2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3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4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0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2" memberValueDatatype="130" unbalanced="0">
      <fieldsUsage count="2">
        <fieldUsage x="-1"/>
        <fieldUsage x="0"/>
      </fieldsUsage>
    </cacheHierarchy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lote_virtual]" caption="lote_virtual" attribute="1" defaultMemberUniqueName="[hmov].[lote_virtual].[All]" allUniqueName="[hmov].[lote_virtual].[All]" dimensionUniqueName="[hmov]" displayFolder="" count="0" memberValueDatatype="13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/>
    <cacheHierarchy uniqueName="[Measures].[vida]" caption="vida" measure="1" displayFolder="" measureGroup="hmov" count="0"/>
    <cacheHierarchy uniqueName="[Measures].[cost]" caption="cost" measure="1" displayFolder="" measureGroup="hmov" count="0"/>
    <cacheHierarchy uniqueName="[Measures].[salCant]" caption="salCant" measure="1" displayFolder="" measureGroup="hmov" count="0" oneField="1">
      <fieldsUsage count="1">
        <fieldUsage x="1"/>
      </fieldsUsage>
    </cacheHierarchy>
    <cacheHierarchy uniqueName="[Measures].[salFrec]" caption="salFrec" measure="1" displayFolder="" measureGroup="hmov" count="0" oneField="1">
      <fieldsUsage count="1">
        <fieldUsage x="2"/>
      </fieldsUsage>
    </cacheHierarchy>
    <cacheHierarchy uniqueName="[Measures].[salCost]" caption="salCost" measure="1" displayFolder="" measureGroup="hmov" count="0" oneField="1">
      <fieldsUsage count="1">
        <fieldUsage x="5"/>
      </fieldsUsage>
    </cacheHierarchy>
    <cacheHierarchy uniqueName="[Measures].[entCant]" caption="entCant" measure="1" displayFolder="" measureGroup="hmov" count="0"/>
    <cacheHierarchy uniqueName="[Measures].[entCost]" caption="entCost" measure="1" displayFolder="" measureGroup="hmov" count="0"/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94120D-C432-4CFC-AAFD-48EBA516BB00}" name="dashInv" cacheId="2" applyNumberFormats="0" applyBorderFormats="0" applyFontFormats="0" applyPatternFormats="0" applyAlignmentFormats="0" applyWidthHeightFormats="1" dataCaption="Valores" tag="5915428a-92dc-4960-94dc-af5010548f29" updatedVersion="8" minRefreshableVersion="3" useAutoFormatting="1" subtotalHiddenItems="1" itemPrintTitles="1" createdVersion="8" indent="0" outline="1" outlineData="1" multipleFieldFilters="0" rowHeaderCaption="">
  <location ref="A3:D7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sortType="descending" defaultSubtotal="0" defaultAttributeDrillState="1">
      <items count="3">
        <item x="0" e="0"/>
        <item x="1" e="0"/>
        <item x="2" e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</pivotFields>
  <rowFields count="3">
    <field x="5"/>
    <field x="0"/>
    <field x="1"/>
  </rowFields>
  <rowItems count="4">
    <i>
      <x v="1"/>
    </i>
    <i>
      <x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13" name="[hmov].[col_existencias].&amp;[8]" cap="8"/>
  </pageFields>
  <dataFields count="3">
    <dataField name="CantidadExistente" fld="6" subtotal="count" baseField="0" baseItem="0"/>
    <dataField name="ValorExistente" fld="4" subtotal="count" baseField="0" baseItem="0"/>
    <dataField name="VidaPromedio" fld="2" subtotal="count" baseField="0" baseItem="0"/>
  </dataFields>
  <formats count="10">
    <format dxfId="45">
      <pivotArea dataOnly="0" grandRow="1" fieldPosition="0"/>
    </format>
    <format dxfId="44">
      <pivotArea grandRow="1" outline="0" collapsedLevelsAreSubtotals="1" fieldPosition="0"/>
    </format>
    <format dxfId="43">
      <pivotArea dataOnly="0" labelOnly="1" grandRow="1" outline="0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field="3" type="button" dataOnly="0" labelOnly="1" outline="0" axis="axisPage" fieldPosition="0"/>
    </format>
    <format dxfId="38">
      <pivotArea field="5" type="button" dataOnly="0" labelOnly="1" outline="0" axis="axisRow" fieldPosition="0"/>
    </format>
    <format dxfId="37">
      <pivotArea dataOnly="0" labelOnly="1" fieldPosition="0">
        <references count="1">
          <reference field="5" count="0"/>
        </references>
      </pivotArea>
    </format>
    <format dxfId="36">
      <pivotArea dataOnly="0" labelOnly="1" grandRow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8" level="1">
        <member name=""/>
        <member name="[hmov].[col_existencias].&amp;[10]"/>
        <member name="[hmov].[col_existencias].&amp;[12]"/>
        <member name="[hmov].[col_existencias].&amp;[15]"/>
        <member name="[hmov].[col_existencias].&amp;[17]"/>
        <member name="[hmov].[col_existencias].&amp;[18]"/>
        <member name="[hmov].[col_existencias].&amp;[20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CantidadExistente"/>
    <pivotHierarchy dragToRow="0" dragToCol="0" dragToPage="0" dragToData="1" caption="VidaPromedio"/>
    <pivotHierarchy dragToRow="0" dragToCol="0" dragToPage="0" dragToData="1" caption="ValorExistent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5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]"/>
        <x15:activeTabTopLevelEntity name="[hmov]"/>
        <x15:activeTabTopLevelEntity name="[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97E05-F634-4477-A9E6-F8364F0520F3}" name="dashEnt" cacheId="3" applyNumberFormats="0" applyBorderFormats="0" applyFontFormats="0" applyPatternFormats="0" applyAlignmentFormats="0" applyWidthHeightFormats="1" dataCaption="Valores" tag="0b6b31bd-255d-4c18-bdaa-a53e9bceae8f" updatedVersion="8" minRefreshableVersion="3" useAutoFormatting="1" itemPrintTitles="1" createdVersion="8" indent="0" outline="1" outlineData="1" multipleFieldFilters="0" rowHeaderCaption="">
  <location ref="A3:C8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4">
        <item x="0" e="0"/>
        <item x="1" e="0"/>
        <item x="2" e="0"/>
        <item x="3" e="0"/>
      </items>
    </pivotField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 e="0"/>
      </items>
    </pivotField>
    <pivotField axis="axisPage" allDrilled="1" subtotalTop="0" showAll="0" dataSourceSort="1" defaultSubtotal="0" defaultAttributeDrillState="1"/>
  </pivotFields>
  <rowFields count="3">
    <field x="0"/>
    <field x="4"/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5" name="[hmov].[inout].&amp;[1]" cap="1"/>
  </pageFields>
  <dataFields count="2">
    <dataField name="ValorEntrada" fld="2" subtotal="count" baseField="0" baseItem="0"/>
    <dataField name="CantidadEntrada" fld="1" subtotal="count" baseField="0" baseItem="0"/>
  </dataFields>
  <formats count="7"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field="5" type="button" dataOnly="0" labelOnly="1" outline="0" axis="axisPage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hmov].[inout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ntidadEntrada"/>
    <pivotHierarchy dragToRow="0" dragToCol="0" dragToPage="0" dragToData="1" caption="ValorEntrada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3"/>
    <rowHierarchyUsage hierarchyUsage="17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v]"/>
        <x15:activeTabTopLevelEntity name="[hmov]"/>
        <x15:activeTabTopLevelEntity name="[pro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53119-608D-4D53-84E5-0B5A22C7DBCE}" name="dashSal" cacheId="4" applyNumberFormats="0" applyBorderFormats="0" applyFontFormats="0" applyPatternFormats="0" applyAlignmentFormats="0" applyWidthHeightFormats="1" dataCaption="Valores" tag="67fbd0ca-7456-4051-903b-40af6c8d93ec" updatedVersion="8" minRefreshableVersion="3" useAutoFormatting="1" itemPrintTitles="1" createdVersion="8" indent="0" outline="1" outlineData="1" multipleFieldFilters="0" rowHeaderCaption="">
  <location ref="A3:D6" firstHeaderRow="0" firstDataRow="1" firstDataCol="1" rowPageCount="1" colPageCount="1"/>
  <pivotFields count="7">
    <pivotField axis="axisRow" allDrilled="1" showAll="0" dataSourceSort="1" defaultSubtotal="0" defaultAttributeDrillState="1">
      <items count="2">
        <item x="0" e="0"/>
        <item x="1" e="0"/>
      </items>
    </pivotField>
    <pivotField dataField="1" showAll="0" defaultSubtotal="0"/>
    <pivotField dataField="1" showAll="0" defaultSubtotal="0"/>
    <pivotField axis="axisRow" allDrilled="1" showAll="0" dataSourceSort="1" defaultSubtotal="0" defaultAttributeDrillState="1">
      <items count="1">
        <item x="0"/>
      </items>
    </pivotField>
    <pivotField axis="axisRow" allDrilled="1" showAll="0" dataSourceSort="1" defaultSubtotal="0" defaultAttributeDrillState="1">
      <items count="1">
        <item x="0" e="0"/>
      </items>
    </pivotField>
    <pivotField dataField="1" showAll="0" defaultSubtotal="0"/>
    <pivotField axis="axisPage" allDrilled="1" showAll="0" dataSourceSort="1" defaultSubtotal="0" defaultAttributeDrillState="1"/>
  </pivotFields>
  <rowFields count="3">
    <field x="0"/>
    <field x="4"/>
    <field x="3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5" name="[hmov].[inout].&amp;[0]" cap="0"/>
  </pageFields>
  <dataFields count="3">
    <dataField name="ValorTraspaso" fld="5" subtotal="count" baseField="0" baseItem="0"/>
    <dataField name="CantidadTraspaso" fld="1" subtotal="count" baseField="0" baseItem="0"/>
    <dataField name="FrecuenciaTraspaso" fld="2" subtotal="count" baseField="0" baseItem="0"/>
  </dataFields>
  <formats count="8">
    <format dxfId="28">
      <pivotArea type="all" dataOnly="0" outline="0" fieldPosition="0"/>
    </format>
    <format dxfId="27">
      <pivotArea outline="0" collapsedLevelsAreSubtotals="1" fieldPosition="0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6" type="button" dataOnly="0" labelOnly="1" outline="0" axis="axisPage" fieldPosition="0"/>
    </format>
    <format dxfId="24">
      <pivotArea field="0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Row="1" outline="0" fieldPosition="0"/>
    </format>
    <format dxfId="21">
      <pivotArea dataOnly="0" labelOnly="1" fieldPosition="0">
        <references count="2">
          <reference field="0" count="1" selected="0">
            <x v="0"/>
          </reference>
          <reference field="4" count="0"/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hmov].[inout].&amp;[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ntidadTraspaso"/>
    <pivotHierarchy dragToRow="0" dragToCol="0" dragToPage="0" dragToData="1" caption="FrecuenciaTraspaso"/>
    <pivotHierarchy dragToRow="0" dragToCol="0" dragToPage="0" dragToData="1" caption="ValorTraspas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5"/>
    <rowHierarchyUsage hierarchyUsage="17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c]"/>
        <x15:activeTabTopLevelEntity name="[hmov]"/>
        <x15:activeTabTopLevelEntity name="[area]"/>
        <x15:activeTabTopLevelEntity name="[pro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945747-7367-427A-AAC7-505CBA012648}" name="prod" displayName="prod" ref="A1:H4" totalsRowShown="0">
  <autoFilter ref="A1:H4" xr:uid="{3B945747-7367-427A-AAC7-505CBA012648}"/>
  <tableColumns count="8">
    <tableColumn id="1" xr3:uid="{D1ED3B1A-88BF-4660-9333-2E1B49F16547}" name="PRODUCTO"/>
    <tableColumn id="4" xr3:uid="{077F18B3-D03E-436C-ADDA-C6B84AD8609F}" name="UNIDAD"/>
    <tableColumn id="7" xr3:uid="{FB6CE7D1-8029-42FC-8EFD-50CC8BB2E936}" name="AREA"/>
    <tableColumn id="6" xr3:uid="{3BD268D1-EF0E-4176-9856-1E4007FFDBE4}" name="IDPROD" dataDxfId="20"/>
    <tableColumn id="2" xr3:uid="{E40D8767-B299-4824-8759-69AB90219A0A}" name="EXISTENCIA" dataDxfId="19">
      <calculatedColumnFormula>SUMIFS(hmov[CANTIDAD],hmov[IDPRODUCTO],prod[[#This Row],[IDPROD]],hmov[INOUT],1)-SUMIFS(hmov[CANTIDAD],hmov[IDPRODUCTO],prod[[#This Row],[IDPROD]],hmov[INOUT],0)</calculatedColumnFormula>
    </tableColumn>
    <tableColumn id="3" xr3:uid="{775A5429-05EE-469D-BF12-95F4BFA084EA}" name="ULTIMO COSTO" dataDxfId="18" dataCellStyle="Moneda">
      <calculatedColumnFormula array="1">IFERROR(SUM(hmov[COSTO]*--(hmov[IDPRODUCTO]=prod[[#This Row],[IDPROD]])*--(hmov[FECHA]=prod[[#This Row],[ULTIMA ENTRADA]]))/SUM(--(hmov[IDPRODUCTO]=prod[[#This Row],[IDPROD]])*--(hmov[FECHA]=prod[[#This Row],[ULTIMA ENTRADA]])),0)</calculatedColumnFormula>
    </tableColumn>
    <tableColumn id="5" xr3:uid="{88623E34-C2EA-4953-AD4E-7E8462F8B0A4}" name="COSTO PROMEDIO" dataDxfId="17" dataCellStyle="Moneda">
      <calculatedColumnFormula array="1">IFERROR(ROUND(SUM(--(_xlfn.ANCHORARRAY(auxProdDisp)=prod[[#This Row],[PRODUCTO]])*_xlfn.ANCHORARRAY(auxLotCostDisp)*_xlfn.ANCHORARRAY(auxLotCantDisp))/prod[[#This Row],[EXISTENCIA]],2),0)</calculatedColumnFormula>
    </tableColumn>
    <tableColumn id="8" xr3:uid="{549FE338-073F-4EBD-8D8C-081174062900}" name="ULTIMA ENTRADA" dataDxfId="16">
      <calculatedColumnFormula array="1">IF(LARGE(hmov[FECHA]*--(hmov[IDPRODUCTO]=prod[[#This Row],[IDPROD]])*--(hmov[INOUT]=1),1)=0,"",LARGE(hmov[FECHA]*--(hmov[IDPRODUCTO]=prod[[#This Row],[IDPROD]])*--(hmov[INOUT]=1),1))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419119-D8F6-4266-96A2-C36B2C1800E7}" name="prov" displayName="prov" ref="A1:B5" totalsRowShown="0">
  <autoFilter ref="A1:B5" xr:uid="{74419119-D8F6-4266-96A2-C36B2C1800E7}"/>
  <tableColumns count="2">
    <tableColumn id="1" xr3:uid="{AB441392-509E-457D-BC1C-F98AE59CEA69}" name="PROVEEDOR"/>
    <tableColumn id="2" xr3:uid="{CC5219C6-52C3-4D9A-983C-5A45FF275D80}" name="IDPROVEEDOR" dataDxfId="1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4B3E85-BFD7-48CA-AAF6-1803BC020CDB}" name="suc" displayName="suc" ref="A1:B4" totalsRowShown="0">
  <autoFilter ref="A1:B4" xr:uid="{554B3E85-BFD7-48CA-AAF6-1803BC020CDB}"/>
  <tableColumns count="2">
    <tableColumn id="1" xr3:uid="{19759173-5F83-4587-A626-4E872A8F979A}" name="SUCURSAL"/>
    <tableColumn id="2" xr3:uid="{3B9A8D59-E50D-41F3-B647-CE78BA4CF77B}" name="IDSUCURSAL" dataDxfId="1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AA69EC-C32D-4CB3-A62A-2015B0F2393A}" name="ar" displayName="ar" ref="A1:B6" totalsRowShown="0">
  <autoFilter ref="A1:B6" xr:uid="{35AA69EC-C32D-4CB3-A62A-2015B0F2393A}"/>
  <tableColumns count="2">
    <tableColumn id="1" xr3:uid="{A9450D9B-7A4D-4449-BFDC-175A5CE41CF4}" name="AREA"/>
    <tableColumn id="2" xr3:uid="{6809EBFD-1386-4B71-AE0F-87814E7A0A60}" name="IDAREA" dataDxfId="1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135F6C-5B17-4397-B23B-CE659D44BA21}" name="tmov" displayName="tmov" ref="A1:C4" totalsRowShown="0">
  <autoFilter ref="A1:C4" xr:uid="{FF135F6C-5B17-4397-B23B-CE659D44BA21}"/>
  <tableColumns count="3">
    <tableColumn id="1" xr3:uid="{E91BAEA4-7E0B-4111-9A84-E0C22F051EAB}" name="TIPO"/>
    <tableColumn id="2" xr3:uid="{550F5926-7656-4FD9-85A9-E80D30ED1D64}" name="INOUT"/>
    <tableColumn id="3" xr3:uid="{E28FD73B-32D3-4F7E-9EF7-97353D61553C}" name="IDTIPO" dataDxfId="1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1C0EDB-2083-4D68-A429-91958B4E1066}" name="hmov" displayName="hmov" ref="A1:K3" totalsRowShown="0" dataDxfId="11">
  <autoFilter ref="A1:K3" xr:uid="{871C0EDB-2083-4D68-A429-91958B4E1066}"/>
  <tableColumns count="11">
    <tableColumn id="1" xr3:uid="{9B9544CD-669A-4781-A4A2-D72DA8F92247}" name="FECHA" dataDxfId="10"/>
    <tableColumn id="2" xr3:uid="{8205D17E-783C-487B-9559-9823D34C6208}" name="IDMOV" dataDxfId="9"/>
    <tableColumn id="3" xr3:uid="{8AF9B385-5AB1-4B05-8A15-833AFC66DA32}" name="IDTIPO" dataDxfId="8"/>
    <tableColumn id="4" xr3:uid="{C955AA5A-6BA6-4089-A0A3-BC75A339CFFA}" name="INOUT" dataDxfId="7"/>
    <tableColumn id="9" xr3:uid="{BB261342-3672-4DF6-803D-690AF9EC4A30}" name="IDSUCURSAL" dataDxfId="6"/>
    <tableColumn id="10" xr3:uid="{0BFBCF4C-D959-497F-AB46-9212EC59287B}" name="IDPROVEEDOR" dataDxfId="5"/>
    <tableColumn id="5" xr3:uid="{D4298A57-8EBD-4CA7-A753-9C36D40A5E0F}" name="IDPRODUCTO" dataDxfId="4"/>
    <tableColumn id="6" xr3:uid="{CB70D502-2F78-4FBA-8BFB-6E431BD5E12D}" name="CANTIDAD" dataDxfId="3"/>
    <tableColumn id="7" xr3:uid="{DE3F597D-B42D-458E-B9B1-5553201A990B}" name="COSTO" dataDxfId="2"/>
    <tableColumn id="11" xr3:uid="{B3946F2C-D42F-4DE8-B57E-B72EA1838C26}" name="LOTE" dataDxfId="1"/>
    <tableColumn id="8" xr3:uid="{21B09C58-A40A-4AB4-819C-446B7BC20964}" name="FECHA_CAD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0916-D9D3-4204-BBBF-75B012ED86F7}">
  <sheetPr codeName="dInv">
    <tabColor rgb="FF00B050"/>
  </sheetPr>
  <dimension ref="A1:D15"/>
  <sheetViews>
    <sheetView topLeftCell="A2" zoomScaleNormal="100" workbookViewId="0">
      <selection activeCell="G9" sqref="G9"/>
    </sheetView>
  </sheetViews>
  <sheetFormatPr baseColWidth="10" defaultRowHeight="15" x14ac:dyDescent="0.25"/>
  <cols>
    <col min="1" max="1" width="14.42578125" style="9" bestFit="1" customWidth="1"/>
    <col min="2" max="2" width="22.7109375" style="11" bestFit="1" customWidth="1"/>
    <col min="3" max="3" width="14" style="11" bestFit="1" customWidth="1"/>
    <col min="4" max="4" width="13.7109375" style="11" bestFit="1" customWidth="1"/>
  </cols>
  <sheetData>
    <row r="1" spans="1:4" hidden="1" x14ac:dyDescent="0.25">
      <c r="A1" s="17" t="s">
        <v>4</v>
      </c>
      <c r="B1" s="11" t="s" vm="3">
        <v>17</v>
      </c>
    </row>
    <row r="3" spans="1:4" x14ac:dyDescent="0.25">
      <c r="A3" s="17" t="s">
        <v>18</v>
      </c>
      <c r="B3" s="11" t="s">
        <v>22</v>
      </c>
      <c r="C3" s="11" t="s">
        <v>24</v>
      </c>
      <c r="D3" s="11" t="s">
        <v>23</v>
      </c>
    </row>
    <row r="4" spans="1:4" x14ac:dyDescent="0.25">
      <c r="A4" s="9" t="s">
        <v>6</v>
      </c>
      <c r="B4" s="12">
        <v>65</v>
      </c>
      <c r="C4" s="13">
        <v>2980</v>
      </c>
      <c r="D4" s="12">
        <v>20</v>
      </c>
    </row>
    <row r="5" spans="1:4" x14ac:dyDescent="0.25">
      <c r="A5" s="9" t="s">
        <v>8</v>
      </c>
      <c r="B5" s="12">
        <v>32</v>
      </c>
      <c r="C5" s="13">
        <v>2586</v>
      </c>
      <c r="D5" s="12">
        <v>-10</v>
      </c>
    </row>
    <row r="6" spans="1:4" x14ac:dyDescent="0.25">
      <c r="A6" s="9" t="s">
        <v>7</v>
      </c>
      <c r="B6" s="12">
        <v>45</v>
      </c>
      <c r="C6" s="13">
        <v>452</v>
      </c>
      <c r="D6" s="12">
        <v>0</v>
      </c>
    </row>
    <row r="7" spans="1:4" x14ac:dyDescent="0.25">
      <c r="A7" s="14" t="s">
        <v>3</v>
      </c>
      <c r="B7" s="15">
        <v>142</v>
      </c>
      <c r="C7" s="16">
        <v>6018</v>
      </c>
      <c r="D7" s="15">
        <v>8</v>
      </c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  <row r="11" spans="1:4" x14ac:dyDescent="0.25">
      <c r="A11"/>
      <c r="B11"/>
      <c r="C11"/>
      <c r="D11"/>
    </row>
    <row r="12" spans="1:4" x14ac:dyDescent="0.25">
      <c r="A12"/>
      <c r="B12"/>
      <c r="C12"/>
      <c r="D12"/>
    </row>
    <row r="13" spans="1:4" x14ac:dyDescent="0.25">
      <c r="A13"/>
      <c r="B13"/>
      <c r="C13"/>
      <c r="D13"/>
    </row>
    <row r="14" spans="1:4" x14ac:dyDescent="0.25">
      <c r="A14"/>
      <c r="B14"/>
      <c r="C14"/>
      <c r="D14"/>
    </row>
    <row r="15" spans="1:4" x14ac:dyDescent="0.25">
      <c r="A15"/>
      <c r="B15"/>
      <c r="C15"/>
      <c r="D15"/>
    </row>
  </sheetData>
  <pageMargins left="0.7" right="0.7" top="0.75" bottom="0.75" header="0.3" footer="0.3"/>
  <pageSetup orientation="portrait" horizontalDpi="360" verticalDpi="36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actualiza">
                <anchor moveWithCells="1" sizeWithCells="1">
                  <from>
                    <xdr:col>4</xdr:col>
                    <xdr:colOff>752475</xdr:colOff>
                    <xdr:row>2</xdr:row>
                    <xdr:rowOff>0</xdr:rowOff>
                  </from>
                  <to>
                    <xdr:col>5</xdr:col>
                    <xdr:colOff>752475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6AC5-6E26-4391-9CEE-FEE070D29CD7}">
  <sheetPr codeName="dEnt">
    <tabColor rgb="FF00B050"/>
  </sheetPr>
  <dimension ref="A1:D10"/>
  <sheetViews>
    <sheetView topLeftCell="A2" workbookViewId="0">
      <selection activeCell="E21" sqref="E21"/>
    </sheetView>
  </sheetViews>
  <sheetFormatPr baseColWidth="10" defaultRowHeight="15" x14ac:dyDescent="0.25"/>
  <cols>
    <col min="1" max="1" width="12.5703125" style="9" bestFit="1" customWidth="1"/>
    <col min="2" max="2" width="12.42578125" style="11" bestFit="1" customWidth="1"/>
    <col min="3" max="3" width="15.5703125" style="11" bestFit="1" customWidth="1"/>
    <col min="4" max="4" width="12.7109375" style="11" customWidth="1"/>
  </cols>
  <sheetData>
    <row r="1" spans="1:3" hidden="1" x14ac:dyDescent="0.25">
      <c r="A1" s="17" t="s">
        <v>2</v>
      </c>
      <c r="B1" s="11" t="s" vm="2">
        <v>16</v>
      </c>
    </row>
    <row r="3" spans="1:3" x14ac:dyDescent="0.25">
      <c r="A3" s="17" t="s">
        <v>18</v>
      </c>
      <c r="B3" s="11" t="s">
        <v>26</v>
      </c>
      <c r="C3" s="11" t="s">
        <v>25</v>
      </c>
    </row>
    <row r="4" spans="1:3" x14ac:dyDescent="0.25">
      <c r="A4" s="9" t="s">
        <v>14</v>
      </c>
      <c r="B4" s="13">
        <v>452</v>
      </c>
      <c r="C4" s="12">
        <v>45</v>
      </c>
    </row>
    <row r="5" spans="1:3" x14ac:dyDescent="0.25">
      <c r="A5" s="9" t="s">
        <v>10</v>
      </c>
      <c r="B5" s="13">
        <v>2400</v>
      </c>
      <c r="C5" s="12">
        <v>45</v>
      </c>
    </row>
    <row r="6" spans="1:3" x14ac:dyDescent="0.25">
      <c r="A6" s="9" t="s">
        <v>9</v>
      </c>
      <c r="B6" s="13">
        <v>2060</v>
      </c>
      <c r="C6" s="12">
        <v>40</v>
      </c>
    </row>
    <row r="7" spans="1:3" x14ac:dyDescent="0.25">
      <c r="A7" s="9" t="s">
        <v>13</v>
      </c>
      <c r="B7" s="13">
        <v>2586</v>
      </c>
      <c r="C7" s="12">
        <v>32</v>
      </c>
    </row>
    <row r="8" spans="1:3" x14ac:dyDescent="0.25">
      <c r="A8" s="9" t="s">
        <v>3</v>
      </c>
      <c r="B8" s="13">
        <v>7498</v>
      </c>
      <c r="C8" s="12">
        <v>162</v>
      </c>
    </row>
    <row r="9" spans="1:3" x14ac:dyDescent="0.25">
      <c r="A9"/>
      <c r="B9"/>
      <c r="C9"/>
    </row>
    <row r="10" spans="1:3" x14ac:dyDescent="0.25">
      <c r="A10"/>
      <c r="B10"/>
      <c r="C10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ctualiza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E445-477E-4935-96A4-54EEF5C9D7BD}">
  <sheetPr codeName="dSal">
    <tabColor rgb="FF00B050"/>
  </sheetPr>
  <dimension ref="A1:D7"/>
  <sheetViews>
    <sheetView topLeftCell="A2" workbookViewId="0">
      <selection activeCell="F8" sqref="F8"/>
    </sheetView>
  </sheetViews>
  <sheetFormatPr baseColWidth="10" defaultRowHeight="15" x14ac:dyDescent="0.25"/>
  <cols>
    <col min="1" max="1" width="12.5703125" style="9" bestFit="1" customWidth="1"/>
    <col min="2" max="2" width="13.42578125" style="11" bestFit="1" customWidth="1"/>
    <col min="3" max="3" width="16.7109375" style="11" bestFit="1" customWidth="1"/>
    <col min="4" max="4" width="18.42578125" style="11" bestFit="1" customWidth="1"/>
    <col min="5" max="5" width="10.85546875" customWidth="1"/>
    <col min="6" max="6" width="11.85546875" customWidth="1"/>
  </cols>
  <sheetData>
    <row r="1" spans="1:4" hidden="1" x14ac:dyDescent="0.25">
      <c r="A1" s="17" t="s">
        <v>2</v>
      </c>
      <c r="B1" s="11" t="s" vm="1">
        <v>15</v>
      </c>
    </row>
    <row r="3" spans="1:4" x14ac:dyDescent="0.25">
      <c r="A3" s="17" t="s">
        <v>18</v>
      </c>
      <c r="B3" s="11" t="s">
        <v>19</v>
      </c>
      <c r="C3" s="11" t="s">
        <v>20</v>
      </c>
      <c r="D3" s="11" t="s">
        <v>21</v>
      </c>
    </row>
    <row r="4" spans="1:4" x14ac:dyDescent="0.25">
      <c r="A4" s="9" t="s">
        <v>12</v>
      </c>
      <c r="B4" s="13">
        <v>920</v>
      </c>
      <c r="C4" s="12">
        <v>15</v>
      </c>
      <c r="D4" s="12">
        <v>0</v>
      </c>
    </row>
    <row r="5" spans="1:4" x14ac:dyDescent="0.25">
      <c r="A5" s="9" t="s">
        <v>11</v>
      </c>
      <c r="B5" s="13">
        <v>20</v>
      </c>
      <c r="C5" s="12">
        <v>2</v>
      </c>
      <c r="D5" s="12">
        <v>0</v>
      </c>
    </row>
    <row r="6" spans="1:4" x14ac:dyDescent="0.25">
      <c r="A6" s="9" t="s">
        <v>3</v>
      </c>
      <c r="B6" s="13">
        <v>940</v>
      </c>
      <c r="C6" s="12">
        <v>17</v>
      </c>
      <c r="D6" s="12">
        <v>0</v>
      </c>
    </row>
    <row r="7" spans="1:4" x14ac:dyDescent="0.25">
      <c r="A7"/>
      <c r="B7"/>
      <c r="C7"/>
      <c r="D7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ctualiza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D131-21F0-4BC8-B9C4-4F79F83F9D7F}">
  <sheetPr codeName="notamov">
    <tabColor theme="8" tint="0.59999389629810485"/>
  </sheetPr>
  <dimension ref="A2:H31"/>
  <sheetViews>
    <sheetView tabSelected="1" topLeftCell="D1" zoomScale="85" zoomScaleNormal="85" workbookViewId="0">
      <selection activeCell="H9" sqref="H9"/>
    </sheetView>
  </sheetViews>
  <sheetFormatPr baseColWidth="10" defaultRowHeight="15" x14ac:dyDescent="0.25"/>
  <cols>
    <col min="1" max="6" width="17.7109375" customWidth="1"/>
  </cols>
  <sheetData>
    <row r="2" spans="1:8" x14ac:dyDescent="0.25">
      <c r="A2" s="3" t="s">
        <v>28</v>
      </c>
      <c r="B2" s="5">
        <v>44739</v>
      </c>
    </row>
    <row r="3" spans="1:8" x14ac:dyDescent="0.25">
      <c r="A3" s="3" t="s">
        <v>29</v>
      </c>
      <c r="B3" s="1" t="s">
        <v>11</v>
      </c>
    </row>
    <row r="4" spans="1:8" x14ac:dyDescent="0.25">
      <c r="A4" s="3" t="s">
        <v>30</v>
      </c>
      <c r="B4" s="1" t="s">
        <v>27</v>
      </c>
    </row>
    <row r="5" spans="1:8" x14ac:dyDescent="0.25">
      <c r="A5" s="3" t="s">
        <v>31</v>
      </c>
      <c r="B5" s="1" t="s">
        <v>5</v>
      </c>
    </row>
    <row r="6" spans="1:8" x14ac:dyDescent="0.25">
      <c r="A6" s="6" t="s">
        <v>32</v>
      </c>
      <c r="B6" s="4">
        <f>INDEX(tmov[INOUT],MATCH(nTIPO_MOV,tmov[TIPO],0))</f>
        <v>0</v>
      </c>
    </row>
    <row r="8" spans="1:8" x14ac:dyDescent="0.25">
      <c r="A8" s="2" t="s">
        <v>33</v>
      </c>
      <c r="B8" s="2" t="s">
        <v>34</v>
      </c>
      <c r="C8" s="2" t="s">
        <v>35</v>
      </c>
      <c r="D8" s="2" t="s">
        <v>36</v>
      </c>
      <c r="E8" s="2" t="s">
        <v>37</v>
      </c>
      <c r="F8" s="2" t="s">
        <v>38</v>
      </c>
      <c r="H8">
        <f>2975/5</f>
        <v>595</v>
      </c>
    </row>
    <row r="9" spans="1:8" x14ac:dyDescent="0.25">
      <c r="A9" s="1" t="s">
        <v>55</v>
      </c>
      <c r="B9" s="1" t="s">
        <v>54</v>
      </c>
      <c r="C9" s="8" t="s">
        <v>63</v>
      </c>
      <c r="D9" s="1">
        <v>20</v>
      </c>
      <c r="E9" s="8">
        <v>44740</v>
      </c>
      <c r="F9" s="1">
        <v>0</v>
      </c>
    </row>
    <row r="10" spans="1:8" x14ac:dyDescent="0.25">
      <c r="A10" s="1" t="s">
        <v>55</v>
      </c>
      <c r="B10" s="1" t="s">
        <v>54</v>
      </c>
      <c r="C10" s="1" t="s">
        <v>63</v>
      </c>
      <c r="D10" s="1">
        <v>10</v>
      </c>
      <c r="E10" s="8">
        <v>44740</v>
      </c>
      <c r="F10" s="1">
        <v>0</v>
      </c>
    </row>
    <row r="11" spans="1:8" x14ac:dyDescent="0.25">
      <c r="A11" s="1"/>
      <c r="B11" s="1"/>
      <c r="C11" s="1"/>
      <c r="D11" s="1"/>
      <c r="E11" s="8"/>
      <c r="F11" s="1"/>
    </row>
    <row r="12" spans="1:8" x14ac:dyDescent="0.25">
      <c r="A12" s="1"/>
      <c r="B12" s="1"/>
      <c r="C12" s="1"/>
      <c r="D12" s="1"/>
      <c r="E12" s="1"/>
      <c r="F12" s="1"/>
    </row>
    <row r="13" spans="1:8" x14ac:dyDescent="0.25">
      <c r="A13" s="1"/>
      <c r="B13" s="1"/>
      <c r="C13" s="1"/>
      <c r="D13" s="1"/>
      <c r="E13" s="1"/>
      <c r="F13" s="1"/>
    </row>
    <row r="14" spans="1:8" x14ac:dyDescent="0.25">
      <c r="A14" s="1"/>
      <c r="B14" s="1"/>
      <c r="C14" s="1"/>
      <c r="D14" s="1"/>
      <c r="E14" s="1"/>
      <c r="F14" s="1"/>
    </row>
    <row r="15" spans="1:8" x14ac:dyDescent="0.25">
      <c r="A15" s="1"/>
      <c r="B15" s="1"/>
      <c r="C15" s="1"/>
      <c r="D15" s="1"/>
      <c r="E15" s="1"/>
      <c r="F15" s="1"/>
    </row>
    <row r="16" spans="1:8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</sheetData>
  <dataValidations count="10">
    <dataValidation type="decimal" allowBlank="1" showInputMessage="1" showErrorMessage="1" errorTitle="Error" error="Excede las existencias" sqref="D1:E1" xr:uid="{8774E785-F1F7-4289-B48F-531C13245F1B}">
      <formula1>0</formula1>
      <formula2>5</formula2>
    </dataValidation>
    <dataValidation type="list" allowBlank="1" showInputMessage="1" showErrorMessage="1" sqref="B5" xr:uid="{F7F9D4A7-FDBC-4E6C-9AB3-5D47D284BC5D}">
      <formula1>"compra,merma,traspaso"</formula1>
    </dataValidation>
    <dataValidation type="list" allowBlank="1" showInputMessage="1" showErrorMessage="1" sqref="F9 F10" xr:uid="{23581FF9-E779-4388-8377-DAF7138B3EDB}">
      <formula1>"0"</formula1>
    </dataValidation>
    <dataValidation type="list" allowBlank="1" showInputMessage="1" showErrorMessage="1" sqref="A9:A31" xr:uid="{24EAE8F7-64DF-4F79-B911-AB9A95181617}">
      <formula1>"leche,queso,cerveza"</formula1>
    </dataValidation>
    <dataValidation type="list" allowBlank="1" showInputMessage="1" showErrorMessage="1" sqref="B3 B4" xr:uid="{2F14CA9F-77CE-42AA-91B9-F5B63DCA1990}">
      <formula1>"na"</formula1>
    </dataValidation>
    <dataValidation type="list" allowBlank="1" showInputMessage="1" showErrorMessage="1" sqref="B9 B10" xr:uid="{D67B069E-AF78-4D10-9A3C-AFD6FF7C2CC0}">
      <formula1>"pz"</formula1>
    </dataValidation>
    <dataValidation type="list" allowBlank="1" showInputMessage="1" showErrorMessage="1" sqref="C9 C10" xr:uid="{45C889B1-1D30-41AB-B7EB-A70B2CB9E139}">
      <formula1>"a2,"</formula1>
    </dataValidation>
    <dataValidation type="decimal" allowBlank="1" showInputMessage="1" showErrorMessage="1" errorTitle="Error" error="Excede las existencias" sqref="D9" xr:uid="{31905DD0-B345-4B16-9279-B0A5CAD3E9EC}">
      <formula1>0</formula1>
      <formula2>20</formula2>
    </dataValidation>
    <dataValidation type="list" allowBlank="1" showInputMessage="1" showErrorMessage="1" sqref="E9 E10" xr:uid="{D12F9DEA-F3D9-47DC-A6BA-514EB03DEA87}">
      <formula1>"44740"</formula1>
    </dataValidation>
    <dataValidation type="decimal" allowBlank="1" showInputMessage="1" showErrorMessage="1" errorTitle="Error" error="Excede las existencias" sqref="D10" xr:uid="{CF42C044-D4D0-491E-B848-4B236991ED1E}">
      <formula1>0</formula1>
      <formula2>10</formula2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uarda">
                <anchor moveWithCells="1" sizeWithCells="1">
                  <from>
                    <xdr:col>5</xdr:col>
                    <xdr:colOff>0</xdr:colOff>
                    <xdr:row>0</xdr:row>
                    <xdr:rowOff>161925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CDE11-185F-4677-A794-C07BE3BD8465}">
  <sheetPr codeName="pr">
    <tabColor theme="6" tint="0.39997558519241921"/>
  </sheetPr>
  <dimension ref="A1:H4"/>
  <sheetViews>
    <sheetView workbookViewId="0">
      <selection activeCell="A5" sqref="A5"/>
    </sheetView>
  </sheetViews>
  <sheetFormatPr baseColWidth="10" defaultRowHeight="15" x14ac:dyDescent="0.25"/>
  <cols>
    <col min="1" max="8" width="15.7109375" customWidth="1"/>
  </cols>
  <sheetData>
    <row r="1" spans="1:8" x14ac:dyDescent="0.25">
      <c r="A1" t="s">
        <v>33</v>
      </c>
      <c r="B1" t="s">
        <v>34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</row>
    <row r="2" spans="1:8" x14ac:dyDescent="0.25">
      <c r="A2" t="s">
        <v>53</v>
      </c>
      <c r="B2" t="s">
        <v>54</v>
      </c>
      <c r="C2" t="s">
        <v>6</v>
      </c>
      <c r="D2" s="1">
        <v>1</v>
      </c>
      <c r="E2" s="1">
        <f>SUMIFS(hmov[CANTIDAD],hmov[IDPRODUCTO],prod[[#This Row],[IDPROD]],hmov[INOUT],1)-SUMIFS(hmov[CANTIDAD],hmov[IDPRODUCTO],prod[[#This Row],[IDPROD]],hmov[INOUT],0)</f>
        <v>0</v>
      </c>
      <c r="F2" s="7" cm="1">
        <f t="array" ref="F2">IFERROR(SUM(hmov[COSTO]*--(hmov[IDPRODUCTO]=prod[[#This Row],[IDPROD]])*--(hmov[FECHA]=prod[[#This Row],[ULTIMA ENTRADA]]))/SUM(--(hmov[IDPRODUCTO]=prod[[#This Row],[IDPROD]])*--(hmov[FECHA]=prod[[#This Row],[ULTIMA ENTRADA]])),0)</f>
        <v>0</v>
      </c>
      <c r="G2" s="7" cm="1">
        <f t="array" ref="G2">IFERROR(ROUND(SUM(--(_xlfn.ANCHORARRAY(auxProdDisp)=prod[[#This Row],[PRODUCTO]])*_xlfn.ANCHORARRAY(auxLotCostDisp)*_xlfn.ANCHORARRAY(auxLotCantDisp))/prod[[#This Row],[EXISTENCIA]],2),0)</f>
        <v>0</v>
      </c>
      <c r="H2" s="8" t="str" cm="1">
        <f t="array" ref="H2">IF(LARGE(hmov[FECHA]*--(hmov[IDPRODUCTO]=prod[[#This Row],[IDPROD]])*--(hmov[INOUT]=1),1)=0,"",LARGE(hmov[FECHA]*--(hmov[IDPRODUCTO]=prod[[#This Row],[IDPROD]])*--(hmov[INOUT]=1),1))</f>
        <v/>
      </c>
    </row>
    <row r="3" spans="1:8" x14ac:dyDescent="0.25">
      <c r="A3" t="s">
        <v>55</v>
      </c>
      <c r="B3" t="s">
        <v>54</v>
      </c>
      <c r="C3" t="s">
        <v>6</v>
      </c>
      <c r="D3" s="1">
        <v>2</v>
      </c>
      <c r="E3" s="18">
        <f>SUMIFS(hmov[CANTIDAD],hmov[IDPRODUCTO],prod[[#This Row],[IDPROD]],hmov[INOUT],1)-SUMIFS(hmov[CANTIDAD],hmov[IDPRODUCTO],prod[[#This Row],[IDPROD]],hmov[INOUT],0)</f>
        <v>20</v>
      </c>
      <c r="F3" s="7" cm="1">
        <f t="array" ref="F3">IFERROR(SUM(hmov[COSTO]*--(hmov[IDPRODUCTO]=prod[[#This Row],[IDPROD]])*--(hmov[FECHA]=prod[[#This Row],[ULTIMA ENTRADA]]))/SUM(--(hmov[IDPRODUCTO]=prod[[#This Row],[IDPROD]])*--(hmov[FECHA]=prod[[#This Row],[ULTIMA ENTRADA]])),0)</f>
        <v>10</v>
      </c>
      <c r="G3" s="19" cm="1">
        <f t="array" ref="G3">IFERROR(ROUND(SUM(--(_xlfn.ANCHORARRAY(auxProdDisp)=prod[[#This Row],[PRODUCTO]])*_xlfn.ANCHORARRAY(auxLotCostDisp)*_xlfn.ANCHORARRAY(auxLotCantDisp))/prod[[#This Row],[EXISTENCIA]],2),0)</f>
        <v>10</v>
      </c>
      <c r="H3" s="8" cm="1">
        <f t="array" ref="H3">IF(LARGE(hmov[FECHA]*--(hmov[IDPRODUCTO]=prod[[#This Row],[IDPROD]])*--(hmov[INOUT]=1),1)=0,"",LARGE(hmov[FECHA]*--(hmov[IDPRODUCTO]=prod[[#This Row],[IDPROD]])*--(hmov[INOUT]=1),1))</f>
        <v>44739</v>
      </c>
    </row>
    <row r="4" spans="1:8" x14ac:dyDescent="0.25">
      <c r="A4" t="s">
        <v>56</v>
      </c>
      <c r="B4" t="s">
        <v>54</v>
      </c>
      <c r="C4" t="s">
        <v>57</v>
      </c>
      <c r="D4" s="1">
        <v>3</v>
      </c>
      <c r="E4" s="18">
        <f>SUMIFS(hmov[CANTIDAD],hmov[IDPRODUCTO],prod[[#This Row],[IDPROD]],hmov[INOUT],1)-SUMIFS(hmov[CANTIDAD],hmov[IDPRODUCTO],prod[[#This Row],[IDPROD]],hmov[INOUT],0)</f>
        <v>0</v>
      </c>
      <c r="F4" s="7" cm="1">
        <f t="array" ref="F4">IFERROR(SUM(hmov[COSTO]*--(hmov[IDPRODUCTO]=prod[[#This Row],[IDPROD]])*--(hmov[FECHA]=prod[[#This Row],[ULTIMA ENTRADA]]))/SUM(--(hmov[IDPRODUCTO]=prod[[#This Row],[IDPROD]])*--(hmov[FECHA]=prod[[#This Row],[ULTIMA ENTRADA]])),0)</f>
        <v>0</v>
      </c>
      <c r="G4" s="19" cm="1">
        <f t="array" ref="G4">IFERROR(ROUND(SUM(--(_xlfn.ANCHORARRAY(auxProdDisp)=prod[[#This Row],[PRODUCTO]])*_xlfn.ANCHORARRAY(auxLotCostDisp)*_xlfn.ANCHORARRAY(auxLotCantDisp))/prod[[#This Row],[EXISTENCIA]],2),0)</f>
        <v>0</v>
      </c>
      <c r="H4" s="8" t="str" cm="1">
        <f t="array" ref="H4">IF(LARGE(hmov[FECHA]*--(hmov[IDPRODUCTO]=prod[[#This Row],[IDPROD]])*--(hmov[INOUT]=1),1)=0,"",LARGE(hmov[FECHA]*--(hmov[IDPRODUCTO]=prod[[#This Row],[IDPROD]])*--(hmov[INOUT]=1),1))</f>
        <v/>
      </c>
    </row>
  </sheetData>
  <dataValidations count="1">
    <dataValidation type="list" allowBlank="1" showInputMessage="1" showErrorMessage="1" sqref="C2:C4" xr:uid="{651357BE-3474-4339-8FDB-67EA7BD7C6A7}">
      <formula1>"lacteos,bebidas,cerdo,pollo,verduras"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F232D-C5F2-4D8A-85F0-0CE01EDDF91E}">
  <sheetPr codeName="prov">
    <tabColor theme="6" tint="0.39997558519241921"/>
  </sheetPr>
  <dimension ref="A1:B5"/>
  <sheetViews>
    <sheetView workbookViewId="0">
      <selection activeCell="A6" sqref="A6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30</v>
      </c>
      <c r="B1" t="s">
        <v>45</v>
      </c>
    </row>
    <row r="2" spans="1:2" x14ac:dyDescent="0.25">
      <c r="A2" t="s">
        <v>61</v>
      </c>
      <c r="B2" s="1">
        <v>1</v>
      </c>
    </row>
    <row r="3" spans="1:2" x14ac:dyDescent="0.25">
      <c r="A3" t="s">
        <v>14</v>
      </c>
      <c r="B3" s="1">
        <v>2</v>
      </c>
    </row>
    <row r="4" spans="1:2" x14ac:dyDescent="0.25">
      <c r="A4" t="s">
        <v>9</v>
      </c>
      <c r="B4" s="1">
        <v>3</v>
      </c>
    </row>
    <row r="5" spans="1:2" x14ac:dyDescent="0.25">
      <c r="A5" t="s">
        <v>62</v>
      </c>
      <c r="B5" s="1">
        <v>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4D817-B563-4DE8-B4B9-19853C387178}">
  <sheetPr codeName="suc">
    <tabColor theme="6" tint="0.39997558519241921"/>
  </sheetPr>
  <dimension ref="A1:B4"/>
  <sheetViews>
    <sheetView workbookViewId="0">
      <selection activeCell="A5" sqref="A5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29</v>
      </c>
      <c r="B1" t="s">
        <v>46</v>
      </c>
    </row>
    <row r="2" spans="1:2" x14ac:dyDescent="0.25">
      <c r="A2" t="s">
        <v>11</v>
      </c>
      <c r="B2" s="1">
        <v>1</v>
      </c>
    </row>
    <row r="3" spans="1:2" x14ac:dyDescent="0.25">
      <c r="A3" t="s">
        <v>12</v>
      </c>
      <c r="B3" s="1">
        <v>2</v>
      </c>
    </row>
    <row r="4" spans="1:2" x14ac:dyDescent="0.25">
      <c r="A4" t="s">
        <v>60</v>
      </c>
      <c r="B4" s="1">
        <v>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AF825-3910-4336-A200-F482D48AF2AA}">
  <sheetPr codeName="ar">
    <tabColor theme="6" tint="0.39997558519241921"/>
  </sheetPr>
  <dimension ref="A1:B6"/>
  <sheetViews>
    <sheetView workbookViewId="0">
      <selection activeCell="A7" sqref="A7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39</v>
      </c>
      <c r="B1" t="s">
        <v>47</v>
      </c>
    </row>
    <row r="2" spans="1:2" x14ac:dyDescent="0.25">
      <c r="A2" t="s">
        <v>6</v>
      </c>
      <c r="B2" s="1">
        <v>1</v>
      </c>
    </row>
    <row r="3" spans="1:2" x14ac:dyDescent="0.25">
      <c r="A3" t="s">
        <v>57</v>
      </c>
      <c r="B3" s="1">
        <v>2</v>
      </c>
    </row>
    <row r="4" spans="1:2" x14ac:dyDescent="0.25">
      <c r="A4" t="s">
        <v>58</v>
      </c>
      <c r="B4" s="1">
        <v>3</v>
      </c>
    </row>
    <row r="5" spans="1:2" x14ac:dyDescent="0.25">
      <c r="A5" t="s">
        <v>59</v>
      </c>
      <c r="B5" s="1">
        <v>4</v>
      </c>
    </row>
    <row r="6" spans="1:2" x14ac:dyDescent="0.25">
      <c r="A6" t="s">
        <v>7</v>
      </c>
      <c r="B6" s="1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D6268-6784-4482-928A-A6AAFC07F15F}">
  <sheetPr codeName="tipmov">
    <tabColor theme="6" tint="0.39997558519241921"/>
  </sheetPr>
  <dimension ref="A1:C4"/>
  <sheetViews>
    <sheetView workbookViewId="0">
      <selection activeCell="A3" sqref="A3:A4"/>
    </sheetView>
  </sheetViews>
  <sheetFormatPr baseColWidth="10" defaultRowHeight="15" x14ac:dyDescent="0.25"/>
  <cols>
    <col min="1" max="3" width="15.7109375" customWidth="1"/>
  </cols>
  <sheetData>
    <row r="1" spans="1:3" x14ac:dyDescent="0.25">
      <c r="A1" t="s">
        <v>48</v>
      </c>
      <c r="B1" t="s">
        <v>32</v>
      </c>
      <c r="C1" t="s">
        <v>49</v>
      </c>
    </row>
    <row r="2" spans="1:3" x14ac:dyDescent="0.25">
      <c r="A2" t="s">
        <v>0</v>
      </c>
      <c r="B2">
        <v>1</v>
      </c>
      <c r="C2" s="1">
        <v>1</v>
      </c>
    </row>
    <row r="3" spans="1:3" x14ac:dyDescent="0.25">
      <c r="A3" t="s">
        <v>1</v>
      </c>
      <c r="B3">
        <v>0</v>
      </c>
      <c r="C3" s="1">
        <v>2</v>
      </c>
    </row>
    <row r="4" spans="1:3" x14ac:dyDescent="0.25">
      <c r="A4" t="s">
        <v>5</v>
      </c>
      <c r="B4">
        <v>0</v>
      </c>
      <c r="C4" s="1">
        <v>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58BCA-2D7B-4A1A-A5CD-579641745E2B}">
  <sheetPr codeName="hmov">
    <tabColor theme="5" tint="0.79998168889431442"/>
  </sheetPr>
  <dimension ref="A1:M3"/>
  <sheetViews>
    <sheetView workbookViewId="0">
      <selection activeCell="A4" sqref="A4"/>
    </sheetView>
  </sheetViews>
  <sheetFormatPr baseColWidth="10" defaultRowHeight="15" x14ac:dyDescent="0.25"/>
  <cols>
    <col min="1" max="11" width="12.7109375" customWidth="1"/>
    <col min="12" max="12" width="11.42578125" customWidth="1"/>
    <col min="13" max="13" width="11.42578125" style="10" customWidth="1"/>
  </cols>
  <sheetData>
    <row r="1" spans="1:11" x14ac:dyDescent="0.25">
      <c r="A1" t="s">
        <v>28</v>
      </c>
      <c r="B1" t="s">
        <v>50</v>
      </c>
      <c r="C1" t="s">
        <v>49</v>
      </c>
      <c r="D1" t="s">
        <v>32</v>
      </c>
      <c r="E1" t="s">
        <v>46</v>
      </c>
      <c r="F1" t="s">
        <v>45</v>
      </c>
      <c r="G1" t="s">
        <v>51</v>
      </c>
      <c r="H1" t="s">
        <v>36</v>
      </c>
      <c r="I1" t="s">
        <v>52</v>
      </c>
      <c r="J1" t="s">
        <v>35</v>
      </c>
      <c r="K1" t="s">
        <v>37</v>
      </c>
    </row>
    <row r="2" spans="1:11" x14ac:dyDescent="0.25">
      <c r="A2" s="8"/>
      <c r="B2" s="1"/>
      <c r="C2" s="1"/>
      <c r="D2" s="1"/>
      <c r="E2" s="1"/>
      <c r="F2" s="1"/>
      <c r="G2" s="1"/>
      <c r="H2" s="1"/>
      <c r="I2" s="1"/>
      <c r="J2" s="1"/>
      <c r="K2" s="8"/>
    </row>
    <row r="3" spans="1:11" x14ac:dyDescent="0.25">
      <c r="A3" s="8">
        <v>44739</v>
      </c>
      <c r="B3" s="1">
        <v>1</v>
      </c>
      <c r="C3" s="1">
        <v>1</v>
      </c>
      <c r="D3" s="1">
        <v>1</v>
      </c>
      <c r="E3" s="1"/>
      <c r="F3" s="1"/>
      <c r="G3" s="1">
        <v>2</v>
      </c>
      <c r="H3" s="1">
        <v>20</v>
      </c>
      <c r="I3" s="1">
        <v>10</v>
      </c>
      <c r="J3" s="1" t="s">
        <v>63</v>
      </c>
      <c r="K3" s="8">
        <v>44740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D6FCA-9C39-4724-8DB4-3548EFBA7332}">
  <sheetPr codeName="auxlot"/>
  <dimension ref="A2:I3"/>
  <sheetViews>
    <sheetView workbookViewId="0">
      <selection activeCell="C20" sqref="C20"/>
    </sheetView>
  </sheetViews>
  <sheetFormatPr baseColWidth="10" defaultRowHeight="15" x14ac:dyDescent="0.25"/>
  <sheetData>
    <row r="2" spans="1:9" x14ac:dyDescent="0.25">
      <c r="A2" cm="1">
        <f t="array" ref="A2:A3">_xlfn.UNIQUE(hmov[LOTE])</f>
        <v>0</v>
      </c>
      <c r="B2" t="e" cm="1">
        <f t="array" ref="B2:B3">INDEX(prod[PRODUCTO],MATCH(INDEX(hmov[IDPRODUCTO],MATCH(_xlfn.ANCHORARRAY(A2),hmov[LOTE],0)),prod[IDPROD],0))</f>
        <v>#N/A</v>
      </c>
      <c r="C2" cm="1">
        <f t="array" ref="C2:C3">SUMIFS(hmov[CANTIDAD],hmov[INOUT],1,hmov[LOTE],_xlfn.ANCHORARRAY(A2))-SUMIFS(hmov[CANTIDAD],hmov[INOUT],0,hmov[LOTE],_xlfn.ANCHORARRAY(A2))</f>
        <v>0</v>
      </c>
      <c r="D2" t="e" cm="1">
        <f t="array" ref="D2:D3">INDEX(hmov[COSTO],MATCH(_xlfn.ANCHORARRAY(A2),hmov[LOTE],0))</f>
        <v>#N/A</v>
      </c>
      <c r="F2" t="str" cm="1">
        <f t="array" ref="F2">_xlfn._xlws.SORT(_xlfn._xlws.FILTER(_xlfn.ANCHORARRAY(A2),_xlfn.ANCHORARRAY(C2)&gt;0,""))</f>
        <v>a2</v>
      </c>
      <c r="G2" t="str" cm="1">
        <f t="array" ref="G2">INDEX(_xlfn.ANCHORARRAY(B2),MATCH(_xlfn.ANCHORARRAY(auxLotDisp),_xlfn.ANCHORARRAY(A2),0))</f>
        <v>queso</v>
      </c>
      <c r="H2" cm="1">
        <f t="array" ref="H2">INDEX(_xlfn.ANCHORARRAY(C2),MATCH(_xlfn.ANCHORARRAY(auxLotDisp),_xlfn.ANCHORARRAY(A2),0))</f>
        <v>20</v>
      </c>
      <c r="I2" cm="1">
        <f t="array" ref="I2">INDEX(_xlfn.ANCHORARRAY(D2),MATCH(_xlfn.ANCHORARRAY(auxLotDisp),_xlfn.ANCHORARRAY(A2),0))</f>
        <v>10</v>
      </c>
    </row>
    <row r="3" spans="1:9" x14ac:dyDescent="0.25">
      <c r="A3" t="str">
        <v>a2</v>
      </c>
      <c r="B3" t="str">
        <v>queso</v>
      </c>
      <c r="C3">
        <v>20</v>
      </c>
      <c r="D3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E6E69813-271D-4AF8-9A00-07C44FAEBF25}">
  <ds:schemaRefs/>
</ds:datastoreItem>
</file>

<file path=customXml/itemProps2.xml><?xml version="1.0" encoding="utf-8"?>
<ds:datastoreItem xmlns:ds="http://schemas.openxmlformats.org/officeDocument/2006/customXml" ds:itemID="{02FC4467-407D-40D2-AD9B-68B6C9CC445B}">
  <ds:schemaRefs/>
</ds:datastoreItem>
</file>

<file path=customXml/itemProps3.xml><?xml version="1.0" encoding="utf-8"?>
<ds:datastoreItem xmlns:ds="http://schemas.openxmlformats.org/officeDocument/2006/customXml" ds:itemID="{DF1523BC-C448-4441-8608-DD985BD0E48F}">
  <ds:schemaRefs/>
</ds:datastoreItem>
</file>

<file path=customXml/itemProps4.xml><?xml version="1.0" encoding="utf-8"?>
<ds:datastoreItem xmlns:ds="http://schemas.openxmlformats.org/officeDocument/2006/customXml" ds:itemID="{9A5DE547-07CF-4B5B-B2CF-EABCE0BC7545}">
  <ds:schemaRefs/>
</ds:datastoreItem>
</file>

<file path=customXml/itemProps5.xml><?xml version="1.0" encoding="utf-8"?>
<ds:datastoreItem xmlns:ds="http://schemas.openxmlformats.org/officeDocument/2006/customXml" ds:itemID="{385F8EBD-6FD5-4823-BDDA-3BB414D20EE6}">
  <ds:schemaRefs/>
</ds:datastoreItem>
</file>

<file path=customXml/itemProps6.xml><?xml version="1.0" encoding="utf-8"?>
<ds:datastoreItem xmlns:ds="http://schemas.openxmlformats.org/officeDocument/2006/customXml" ds:itemID="{60D2020A-0866-490F-8EEC-090C769B5F60}">
  <ds:schemaRefs/>
</ds:datastoreItem>
</file>

<file path=customXml/itemProps7.xml><?xml version="1.0" encoding="utf-8"?>
<ds:datastoreItem xmlns:ds="http://schemas.openxmlformats.org/officeDocument/2006/customXml" ds:itemID="{6F809385-0CA9-4E35-B0C3-92E6BFD18F22}">
  <ds:schemaRefs/>
</ds:datastoreItem>
</file>

<file path=customXml/itemProps8.xml><?xml version="1.0" encoding="utf-8"?>
<ds:datastoreItem xmlns:ds="http://schemas.openxmlformats.org/officeDocument/2006/customXml" ds:itemID="{CCB58307-AA9A-479B-89C6-58353F5DF4C7}">
  <ds:schemaRefs/>
</ds:datastoreItem>
</file>

<file path=customXml/itemProps9.xml><?xml version="1.0" encoding="utf-8"?>
<ds:datastoreItem xmlns:ds="http://schemas.openxmlformats.org/officeDocument/2006/customXml" ds:itemID="{46D954F1-F397-467D-AF37-640140639CCC}">
  <ds:schemaRefs/>
</ds:datastoreItem>
</file>

<file path=customXml/itemProps10.xml><?xml version="1.0" encoding="utf-8"?>
<ds:datastoreItem xmlns:ds="http://schemas.openxmlformats.org/officeDocument/2006/customXml" ds:itemID="{B0D08F51-EB4B-4D59-9180-63FBFCD0FCBF}">
  <ds:schemaRefs/>
</ds:datastoreItem>
</file>

<file path=customXml/itemProps11.xml><?xml version="1.0" encoding="utf-8"?>
<ds:datastoreItem xmlns:ds="http://schemas.openxmlformats.org/officeDocument/2006/customXml" ds:itemID="{22EC1C85-2FCE-44F6-90F6-602F5335FA79}">
  <ds:schemaRefs/>
</ds:datastoreItem>
</file>

<file path=customXml/itemProps12.xml><?xml version="1.0" encoding="utf-8"?>
<ds:datastoreItem xmlns:ds="http://schemas.openxmlformats.org/officeDocument/2006/customXml" ds:itemID="{65B8DD7F-3705-43B5-B6AF-939D536A7774}">
  <ds:schemaRefs/>
</ds:datastoreItem>
</file>

<file path=customXml/itemProps13.xml><?xml version="1.0" encoding="utf-8"?>
<ds:datastoreItem xmlns:ds="http://schemas.openxmlformats.org/officeDocument/2006/customXml" ds:itemID="{78D33CF5-3194-492F-A383-5C8070CD4472}">
  <ds:schemaRefs/>
</ds:datastoreItem>
</file>

<file path=customXml/itemProps14.xml><?xml version="1.0" encoding="utf-8"?>
<ds:datastoreItem xmlns:ds="http://schemas.openxmlformats.org/officeDocument/2006/customXml" ds:itemID="{88A639EA-91B3-4C42-A01D-8124529F4755}">
  <ds:schemaRefs/>
</ds:datastoreItem>
</file>

<file path=customXml/itemProps15.xml><?xml version="1.0" encoding="utf-8"?>
<ds:datastoreItem xmlns:ds="http://schemas.openxmlformats.org/officeDocument/2006/customXml" ds:itemID="{3068F4AE-7D46-4918-9349-3FBDD85D29FC}">
  <ds:schemaRefs/>
</ds:datastoreItem>
</file>

<file path=customXml/itemProps16.xml><?xml version="1.0" encoding="utf-8"?>
<ds:datastoreItem xmlns:ds="http://schemas.openxmlformats.org/officeDocument/2006/customXml" ds:itemID="{5EA615C4-0E87-415C-A689-A9099E404D61}">
  <ds:schemaRefs/>
</ds:datastoreItem>
</file>

<file path=customXml/itemProps17.xml><?xml version="1.0" encoding="utf-8"?>
<ds:datastoreItem xmlns:ds="http://schemas.openxmlformats.org/officeDocument/2006/customXml" ds:itemID="{6DB34F29-A4F6-438B-8854-66DA8F4D90AB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2BD6DCD1-A7F7-4A1E-8C11-874849AA152D}">
  <ds:schemaRefs/>
</ds:datastoreItem>
</file>

<file path=customXml/itemProps19.xml><?xml version="1.0" encoding="utf-8"?>
<ds:datastoreItem xmlns:ds="http://schemas.openxmlformats.org/officeDocument/2006/customXml" ds:itemID="{50F19CC1-600A-4364-9A49-445808F54875}">
  <ds:schemaRefs/>
</ds:datastoreItem>
</file>

<file path=customXml/itemProps20.xml><?xml version="1.0" encoding="utf-8"?>
<ds:datastoreItem xmlns:ds="http://schemas.openxmlformats.org/officeDocument/2006/customXml" ds:itemID="{14386918-16F5-4161-B050-B5BA4B42EF67}">
  <ds:schemaRefs/>
</ds:datastoreItem>
</file>

<file path=customXml/itemProps21.xml><?xml version="1.0" encoding="utf-8"?>
<ds:datastoreItem xmlns:ds="http://schemas.openxmlformats.org/officeDocument/2006/customXml" ds:itemID="{035E197F-66FB-4886-8EA9-CAB8A9DD1F86}">
  <ds:schemaRefs/>
</ds:datastoreItem>
</file>

<file path=customXml/itemProps22.xml><?xml version="1.0" encoding="utf-8"?>
<ds:datastoreItem xmlns:ds="http://schemas.openxmlformats.org/officeDocument/2006/customXml" ds:itemID="{31EB7792-4B18-4A1D-9E69-47250332656D}">
  <ds:schemaRefs/>
</ds:datastoreItem>
</file>

<file path=customXml/itemProps23.xml><?xml version="1.0" encoding="utf-8"?>
<ds:datastoreItem xmlns:ds="http://schemas.openxmlformats.org/officeDocument/2006/customXml" ds:itemID="{FBC590C9-DA43-4352-BF28-D5A5FEE2FC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32</vt:i4>
      </vt:variant>
    </vt:vector>
  </HeadingPairs>
  <TitlesOfParts>
    <vt:vector size="43" baseType="lpstr">
      <vt:lpstr>dash Inv</vt:lpstr>
      <vt:lpstr>dash Ent</vt:lpstr>
      <vt:lpstr>dash Sal</vt:lpstr>
      <vt:lpstr>notaMov</vt:lpstr>
      <vt:lpstr>Prod</vt:lpstr>
      <vt:lpstr>Prov</vt:lpstr>
      <vt:lpstr>Suc</vt:lpstr>
      <vt:lpstr>Ars</vt:lpstr>
      <vt:lpstr>tMov</vt:lpstr>
      <vt:lpstr>hMov</vt:lpstr>
      <vt:lpstr>aux lotes</vt:lpstr>
      <vt:lpstr>auxLotCantDisp</vt:lpstr>
      <vt:lpstr>auxLotCostDisp</vt:lpstr>
      <vt:lpstr>auxLotDisp</vt:lpstr>
      <vt:lpstr>auxProdDisp</vt:lpstr>
      <vt:lpstr>bas</vt:lpstr>
      <vt:lpstr>col_CANTIDAD</vt:lpstr>
      <vt:lpstr>col_COSTO_UNITARIO</vt:lpstr>
      <vt:lpstr>col_FECHA_CAD</vt:lpstr>
      <vt:lpstr>col_LOTE</vt:lpstr>
      <vt:lpstr>col_PRODUCTO</vt:lpstr>
      <vt:lpstr>col_UNIDAD</vt:lpstr>
      <vt:lpstr>e_CANTIDAD</vt:lpstr>
      <vt:lpstr>e_COSTO_UNITARIO</vt:lpstr>
      <vt:lpstr>e_FECHA_CAD</vt:lpstr>
      <vt:lpstr>e_LOTE</vt:lpstr>
      <vt:lpstr>e_PRODUCTO</vt:lpstr>
      <vt:lpstr>e_UNIDAD</vt:lpstr>
      <vt:lpstr>enc</vt:lpstr>
      <vt:lpstr>grl</vt:lpstr>
      <vt:lpstr>iniarea</vt:lpstr>
      <vt:lpstr>inihmov</vt:lpstr>
      <vt:lpstr>iniprod</vt:lpstr>
      <vt:lpstr>iniprov</vt:lpstr>
      <vt:lpstr>inisuc</vt:lpstr>
      <vt:lpstr>initmov</vt:lpstr>
      <vt:lpstr>nFECHA</vt:lpstr>
      <vt:lpstr>nINOUT</vt:lpstr>
      <vt:lpstr>nPROVEEDOR</vt:lpstr>
      <vt:lpstr>nSUCURSAL</vt:lpstr>
      <vt:lpstr>nTIPO_MOV</vt:lpstr>
      <vt:lpstr>penc</vt:lpstr>
      <vt:lpstr>pgrl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Fuentes</dc:creator>
  <cp:lastModifiedBy>Pablo Fuentes</cp:lastModifiedBy>
  <dcterms:created xsi:type="dcterms:W3CDTF">2022-06-11T14:56:22Z</dcterms:created>
  <dcterms:modified xsi:type="dcterms:W3CDTF">2022-06-30T15:00:44Z</dcterms:modified>
</cp:coreProperties>
</file>